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" sheetId="1" state="visible" r:id="rId3"/>
    <sheet name="Risk Table" sheetId="2" state="visible" r:id="rId4"/>
    <sheet name="Out of Scope" sheetId="3" state="visible" r:id="rId5"/>
  </sheets>
  <definedNames>
    <definedName function="false" hidden="true" localSheetId="1" name="_xlnm._FilterDatabase" vbProcedure="false">'Risk Table'!$A$1:$Q$73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<sst xmlns="http://schemas.openxmlformats.org/spreadsheetml/2006/main" count="625" uniqueCount="430">
  <si>
    <t xml:space="preserve">Risk rating rubric — profile-site test strategy</t>
  </si>
  <si>
    <t xml:space="preserve">Risk = Likelihood x Impact.  L and I are NOT rated by feel; each is derived from three sub-factors.</t>
  </si>
  <si>
    <t xml:space="preserve">Likelihood  L = MIN(Reachability, MAX(Exposure, Control))   —  reachability is a CEILING, not a floor.</t>
  </si>
  <si>
    <t xml:space="preserve">Impact      I = MAX(Blast radius, Recoverability, Detectability)</t>
  </si>
  <si>
    <t xml:space="preserve">Correction to an earlier version of this rubric: likelihood was first defined as the MAX of all three</t>
  </si>
  <si>
    <t xml:space="preserve">sub-factors. That made Reachability=3 force L=3 for every public route, so L stopped discriminating.</t>
  </si>
  <si>
    <t xml:space="preserve">Reachability now caps L instead. An admin-only failure cannot exceed L=1 however weak its control.</t>
  </si>
  <si>
    <t xml:space="preserve">LIKELIHOOD sub-factors</t>
  </si>
  <si>
    <t xml:space="preserve">Sub-factor</t>
  </si>
  <si>
    <t xml:space="preserve">1</t>
  </si>
  <si>
    <t xml:space="preserve">2</t>
  </si>
  <si>
    <t xml:space="preserve">3</t>
  </si>
  <si>
    <t xml:space="preserve">Reachability (R) — who can trigger the path. CAPS the result.</t>
  </si>
  <si>
    <t xml:space="preserve">authenticated admin only</t>
  </si>
  <si>
    <t xml:space="preserve">any ordinary user of the site</t>
  </si>
  <si>
    <t xml:space="preserve">anyone on the internet, unauthenticated</t>
  </si>
  <si>
    <t xml:space="preserve">Exposure (E) — how often the triggering CONDITION arises</t>
  </si>
  <si>
    <t xml:space="preserve">only if the code is changed</t>
  </si>
  <si>
    <t xml:space="preserve">occasionally, under particular input or timing</t>
  </si>
  <si>
    <t xml:space="preserve">on essentially every request</t>
  </si>
  <si>
    <t xml:space="preserve">Control (C) — how weak the protection is</t>
  </si>
  <si>
    <t xml:space="preserve">framework-provided and proven (Pydantic, HTTP stack)</t>
  </si>
  <si>
    <t xml:space="preserve">hand-rolled and currently untested</t>
  </si>
  <si>
    <t xml:space="preserve">no control exists at all</t>
  </si>
  <si>
    <t xml:space="preserve">IMPACT sub-factors</t>
  </si>
  <si>
    <t xml:space="preserve">Blast radius (B) — who is affected</t>
  </si>
  <si>
    <t xml:space="preserve">one user's own session</t>
  </si>
  <si>
    <t xml:space="preserve">some users, or one feature</t>
  </si>
  <si>
    <t xml:space="preserve">everyone, or stored data</t>
  </si>
  <si>
    <t xml:space="preserve">Recoverability (Rc) — cost of putting it right</t>
  </si>
  <si>
    <t xml:space="preserve">self-heals on retry</t>
  </si>
  <si>
    <t xml:space="preserve">manual fix, data intact</t>
  </si>
  <si>
    <t xml:space="preserve">irreversible or data lost</t>
  </si>
  <si>
    <t xml:space="preserve">Detectability (D) — how loudly it fails</t>
  </si>
  <si>
    <t xml:space="preserve">loud error, immediately obvious</t>
  </si>
  <si>
    <t xml:space="preserve">logged but not alerted</t>
  </si>
  <si>
    <t xml:space="preserve">silent; the system looks correct</t>
  </si>
  <si>
    <t xml:space="preserve">Detectability is the sub-factor most often skipped, and it is how functional-correctness rows earn</t>
  </si>
  <si>
    <t xml:space="preserve">their score. A wrong answer that nobody can see is worse than a crash that everybody sees.</t>
  </si>
  <si>
    <t xml:space="preserve">PRIORITY BANDS</t>
  </si>
  <si>
    <t xml:space="preserve">Risk 6-9</t>
  </si>
  <si>
    <t xml:space="preserve">P1</t>
  </si>
  <si>
    <t xml:space="preserve">must be covered by Day 5</t>
  </si>
  <si>
    <t xml:space="preserve">Risk 3-4</t>
  </si>
  <si>
    <t xml:space="preserve">P2</t>
  </si>
  <si>
    <t xml:space="preserve">covered if time allows</t>
  </si>
  <si>
    <t xml:space="preserve">Risk 1-2</t>
  </si>
  <si>
    <t xml:space="preserve">P3</t>
  </si>
  <si>
    <t xml:space="preserve">accepted and documented</t>
  </si>
  <si>
    <t xml:space="preserve">THE FIVE LENSES — every surface is decomposed through all five</t>
  </si>
  <si>
    <t xml:space="preserve">Lens</t>
  </si>
  <si>
    <t xml:space="preserve">The question it asks</t>
  </si>
  <si>
    <t xml:space="preserve">Failure it catches</t>
  </si>
  <si>
    <t xml:space="preserve">Correctness</t>
  </si>
  <si>
    <t xml:space="preserve">With valid input, is the output right?</t>
  </si>
  <si>
    <t xml:space="preserve">silent wrong answers</t>
  </si>
  <si>
    <t xml:space="preserve">Boundary</t>
  </si>
  <si>
    <t xml:space="preserve">What happens at the edges of valid input?</t>
  </si>
  <si>
    <t xml:space="preserve">crashes, or bad data accepted</t>
  </si>
  <si>
    <t xml:space="preserve">Dependency</t>
  </si>
  <si>
    <t xml:space="preserve">What happens when something external fails?</t>
  </si>
  <si>
    <t xml:space="preserve">unhandled errors, hangs</t>
  </si>
  <si>
    <t xml:space="preserve">State</t>
  </si>
  <si>
    <t xml:space="preserve">What persists, and can it go stale, leak, or race?</t>
  </si>
  <si>
    <t xml:space="preserve">staleness, concurrency, leakage</t>
  </si>
  <si>
    <t xml:space="preserve">Access</t>
  </si>
  <si>
    <t xml:space="preserve">Who can reach this, and what enforces it?</t>
  </si>
  <si>
    <t xml:space="preserve">unauthorised action</t>
  </si>
  <si>
    <t xml:space="preserve">A surface with rows under only one or two lenses is under-analysed, not low-risk.</t>
  </si>
  <si>
    <t xml:space="preserve">HOW TO EDIT THIS WORKBOOK</t>
  </si>
  <si>
    <t xml:space="preserve">Edit only the white columns on the 'Risk Table' sheet: the six sub-factor columns (R, E, C, B, Rc, D)</t>
  </si>
  <si>
    <t xml:space="preserve">and the text columns. The shaded columns L, I, Risk and Priority are formulas and recompute themselves.</t>
  </si>
  <si>
    <t xml:space="preserve">Disagreeing with a score means changing a sub-factor and being able to say which one and why.</t>
  </si>
  <si>
    <t xml:space="preserve">ID</t>
  </si>
  <si>
    <t xml:space="preserve">Domain</t>
  </si>
  <si>
    <t xml:space="preserve">Surface</t>
  </si>
  <si>
    <t xml:space="preserve">Failure mode</t>
  </si>
  <si>
    <t xml:space="preserve">Who's affected &amp; how</t>
  </si>
  <si>
    <t xml:space="preserve">R</t>
  </si>
  <si>
    <t xml:space="preserve">E</t>
  </si>
  <si>
    <t xml:space="preserve">C</t>
  </si>
  <si>
    <t xml:space="preserve">L</t>
  </si>
  <si>
    <t xml:space="preserve">B</t>
  </si>
  <si>
    <t xml:space="preserve">Rc</t>
  </si>
  <si>
    <t xml:space="preserve">D</t>
  </si>
  <si>
    <t xml:space="preserve">I</t>
  </si>
  <si>
    <t xml:space="preserve">Risk</t>
  </si>
  <si>
    <t xml:space="preserve">Priority</t>
  </si>
  <si>
    <t xml:space="preserve">Expected behaviour</t>
  </si>
  <si>
    <t xml:space="preserve">BE-LOGIN-01</t>
  </si>
  <si>
    <t xml:space="preserve">backend</t>
  </si>
  <si>
    <t xml:space="preserve">POST /api/admin/login</t>
  </si>
  <si>
    <t xml:space="preserve">Passwords submitted repeatedly - no throttle, lockout, or alerting; credential guessable at wire speed</t>
  </si>
  <si>
    <t xml:space="preserve">Owner: full admin access incl. leaderboard wipe. Players: scores deleted with no recourse</t>
  </si>
  <si>
    <t xml:space="preserve">Repeated failures throttled or locked out; failed attempts logged. Neither exists today - record as a finding, not a passing test</t>
  </si>
  <si>
    <t xml:space="preserve">BE-LOGIN-02</t>
  </si>
  <si>
    <t xml:space="preserve">Token is HMAC(password, b'admin-session') - deterministic, no nonce, no expiry, no rotation</t>
  </si>
  <si>
    <t xml:space="preserve">Owner: a token captured once stays valid forever until the password changes</t>
  </si>
  <si>
    <t xml:space="preserve">Tokens expire and differ per session. Current behaviour is a documented weakness</t>
  </si>
  <si>
    <t xml:space="preserve">BE-LOGIN-03</t>
  </si>
  <si>
    <t xml:space="preserve">A password that is not identical to ADMIN_PASSWORD is accepted (compare_digest bypassed or replaced)</t>
  </si>
  <si>
    <t xml:space="preserve">Owner: full auth bypass</t>
  </si>
  <si>
    <t xml:space="preserve">Only an exact match returns 200; every other value returns 401</t>
  </si>
  <si>
    <t xml:space="preserve">BE-LOGIN-04</t>
  </si>
  <si>
    <t xml:space="preserve">The correct password is rejected</t>
  </si>
  <si>
    <t xml:space="preserve">Admin: locked out of own panel</t>
  </si>
  <si>
    <t xml:space="preserve">Exact match returns 200 with a token</t>
  </si>
  <si>
    <t xml:space="preserve">BE-LOGIN-05</t>
  </si>
  <si>
    <t xml:space="preserve">Body missing 'password', wrong type, or not JSON</t>
  </si>
  <si>
    <t xml:space="preserve">Admin: opaque error if the client sends the wrong shape</t>
  </si>
  <si>
    <t xml:space="preserve">422 from FastAPI validation; the handler never executes</t>
  </si>
  <si>
    <t xml:space="preserve">BE-LOGIN-06</t>
  </si>
  <si>
    <t xml:space="preserve">Empty string, whitespace-only, or very long password</t>
  </si>
  <si>
    <t xml:space="preserve">Admin: unhandled error instead of a clean rejection</t>
  </si>
  <si>
    <t xml:space="preserve">401, not 500. compare_digest handles all string lengths</t>
  </si>
  <si>
    <t xml:space="preserve">BE-LOGIN-07</t>
  </si>
  <si>
    <t xml:space="preserve">ADMIN_PASSWORD unset - KeyError raised inside the handler at request time</t>
  </si>
  <si>
    <t xml:space="preserve">Admins: 500 with no usable diagnosis</t>
  </si>
  <si>
    <t xml:space="preserve">Missing config fails loudly at startup, not per-request</t>
  </si>
  <si>
    <t xml:space="preserve">BE-LOGIN-08</t>
  </si>
  <si>
    <t xml:space="preserve">Response body contains the submitted or stored password</t>
  </si>
  <si>
    <t xml:space="preserve">Owner: secret disclosed to the client</t>
  </si>
  <si>
    <t xml:space="preserve">Response is exactly {'token': ...} and contains no password material</t>
  </si>
  <si>
    <t xml:space="preserve">BE-ADMGET-01</t>
  </si>
  <si>
    <t xml:space="preserve">GET /api/admin/leaderboard</t>
  </si>
  <si>
    <t xml:space="preserve">require_admin accepts a missing, malformed, or forged Authorization header</t>
  </si>
  <si>
    <t xml:space="preserve">All players: names exposed. Owner: admin surface open</t>
  </si>
  <si>
    <t xml:space="preserve">401 for a missing header, a non-Bearer prefix, and any token that is not make_token(ADMIN_PASSWORD)</t>
  </si>
  <si>
    <t xml:space="preserve">BE-ADMGET-02</t>
  </si>
  <si>
    <t xml:space="preserve">Returns a truncated or wrongly ordered set instead of every entry</t>
  </si>
  <si>
    <t xml:space="preserve">Admin: moderates against an incomplete view</t>
  </si>
  <si>
    <t xml:space="preserve">All entries, descending by score, with scores attached - distinct from the public top-10 route</t>
  </si>
  <si>
    <t xml:space="preserve">BE-ADMGET-03</t>
  </si>
  <si>
    <t xml:space="preserve">Redis unreachable or times out</t>
  </si>
  <si>
    <t xml:space="preserve">Admin: cannot view leaderboard</t>
  </si>
  <si>
    <t xml:space="preserve">503 'Leaderboard temporarily unavailable'; exception logged, internals not returned</t>
  </si>
  <si>
    <t xml:space="preserve">BE-ADMDEL-01</t>
  </si>
  <si>
    <t xml:space="preserve">DELETE /api/admin/score/{name}</t>
  </si>
  <si>
    <t xml:space="preserve">Unauthenticated caller reaches the handler - arbitrary player scores deleted</t>
  </si>
  <si>
    <t xml:space="preserve">Players: score loss, unrecoverable</t>
  </si>
  <si>
    <t xml:space="preserve">401 before any Redis call is issued</t>
  </si>
  <si>
    <t xml:space="preserve">BE-ADMDEL-02</t>
  </si>
  <si>
    <t xml:space="preserve">zrem on a name not in the set is a no-op returning 0, but the handler returns {'deleted': name} regardless</t>
  </si>
  <si>
    <t xml:space="preserve">Admin: believes a record was removed; masks typos and concurrent deletes</t>
  </si>
  <si>
    <t xml:space="preserve">Response distinguishes 'removed' from 'was not present'. Current behaviour is a defect to file on Day 3</t>
  </si>
  <si>
    <t xml:space="preserve">BE-ADMDEL-03</t>
  </si>
  <si>
    <t xml:space="preserve">Leaderboard cache not invalidated after a delete</t>
  </si>
  <si>
    <t xml:space="preserve">Players: deleted name still visible for up to 8s</t>
  </si>
  <si>
    <t xml:space="preserve">A subsequent GET /api/leaderboard does not contain the deleted name</t>
  </si>
  <si>
    <t xml:space="preserve">BE-ADMDEL-04</t>
  </si>
  <si>
    <t xml:space="preserve">Redis unreachable during zrem</t>
  </si>
  <si>
    <t xml:space="preserve">Admin: deletion silently fails</t>
  </si>
  <si>
    <t xml:space="preserve">503; cache not left in a stale state</t>
  </si>
  <si>
    <t xml:space="preserve">BE-ADMCLR-01</t>
  </si>
  <si>
    <t xml:space="preserve">DELETE /api/admin/leaderboard</t>
  </si>
  <si>
    <t xml:space="preserve">Unauthenticated caller reaches the handler - entire leaderboard deleted in one call</t>
  </si>
  <si>
    <t xml:space="preserve">All players: total data loss, no backup, no undo</t>
  </si>
  <si>
    <t xml:space="preserve">401 before redis.delete executes</t>
  </si>
  <si>
    <t xml:space="preserve">BE-ADMCLR-02</t>
  </si>
  <si>
    <t xml:space="preserve">Key deleted but cache not cleared, or response reports success when the delete failed</t>
  </si>
  <si>
    <t xml:space="preserve">Players: board reappears or vanishes inconsistently</t>
  </si>
  <si>
    <t xml:space="preserve">Key removed, cache invalidated, {'cleared': True} returned only on success</t>
  </si>
  <si>
    <t xml:space="preserve">BE-ADMCLR-03</t>
  </si>
  <si>
    <t xml:space="preserve">No confirmation step, no soft delete, no export - one authenticated click is irreversible</t>
  </si>
  <si>
    <t xml:space="preserve">All players: same total loss, from a legitimate session</t>
  </si>
  <si>
    <t xml:space="preserve">Destructive action requires explicit confirmation or is recoverable. Neither exists today</t>
  </si>
  <si>
    <t xml:space="preserve">BE-SCORE-01</t>
  </si>
  <si>
    <t xml:space="preserve">POST /api/score</t>
  </si>
  <si>
    <t xml:space="preserve">Anti-cheat gate sits inside 'if previous is not None', so a first submission for a new name accepts any score up to 100000 unchecked</t>
  </si>
  <si>
    <t xml:space="preserve">All players: board topped by a fabricated score; the only anti-cheat control is bypassed by using a fresh name</t>
  </si>
  <si>
    <t xml:space="preserve">Implausible scores are rejected on first submission too, not only on increments</t>
  </si>
  <si>
    <t xml:space="preserve">BE-SCORE-02</t>
  </si>
  <si>
    <t xml:space="preserve">Increment exceeding MAX_SCORE_PER_LEVEL (100) over the stored score is accepted</t>
  </si>
  <si>
    <t xml:space="preserve">Players: unfair ranking</t>
  </si>
  <si>
    <t xml:space="preserve">400 'Score increase too large for one submission'; nothing written to Redis</t>
  </si>
  <si>
    <t xml:space="preserve">BE-SCORE-03</t>
  </si>
  <si>
    <t xml:space="preserve">A score lower than or equal to the stored score overwrites the better one</t>
  </si>
  <si>
    <t xml:space="preserve">Players: a worse run silently destroys a better result; response still looks successful</t>
  </si>
  <si>
    <t xml:space="preserve">updated: False, previous score returned, no zadd issued</t>
  </si>
  <si>
    <t xml:space="preserve">BE-SCORE-04</t>
  </si>
  <si>
    <t xml:space="preserve">A genuinely higher score reports updated: True but is never written to Redis</t>
  </si>
  <si>
    <t xml:space="preserve">Players: score lost while the UI confirms success</t>
  </si>
  <si>
    <t xml:space="preserve">zadd issued, updated: True, cache invalidated, and the new value is readable immediately after</t>
  </si>
  <si>
    <t xml:space="preserve">BE-SCORE-05</t>
  </si>
  <si>
    <t xml:space="preserve">name empty after strip, 21+ chars, or characters outside [A-Za-z0-9 _-]</t>
  </si>
  <si>
    <t xml:space="preserve">Players: garbage or spoofed names on a public board</t>
  </si>
  <si>
    <t xml:space="preserve">422 from validate_name before the handler runs. Boundaries to cover: 0, 1, 20, 21 characters</t>
  </si>
  <si>
    <t xml:space="preserve">BE-SCORE-06</t>
  </si>
  <si>
    <t xml:space="preserve">score below 0 or above 100000</t>
  </si>
  <si>
    <t xml:space="preserve">Data integrity</t>
  </si>
  <si>
    <t xml:space="preserve">422 from validate_score. Boundaries to cover: -1, 0, 100000, 100001</t>
  </si>
  <si>
    <t xml:space="preserve">BE-SCORE-07</t>
  </si>
  <si>
    <t xml:space="preserve">Name is stripped before matching, so ' ab ' and 'ab' collapse to one entry</t>
  </si>
  <si>
    <t xml:space="preserve">Players: two people believe they hold separate entries</t>
  </si>
  <si>
    <t xml:space="preserve">Stored name is the stripped form, and that is the form returned and used as the Redis member</t>
  </si>
  <si>
    <t xml:space="preserve">BE-SCORE-08</t>
  </si>
  <si>
    <t xml:space="preserve">Redis fails during zscore or zadd</t>
  </si>
  <si>
    <t xml:space="preserve">Players: score lost silently from their perspective</t>
  </si>
  <si>
    <t xml:space="preserve">503. The HTTPException raised by the anti-cheat branch is re-raised, not swallowed into the 503 handler</t>
  </si>
  <si>
    <t xml:space="preserve">BE-LB-01</t>
  </si>
  <si>
    <t xml:space="preserve">GET /api/leaderboard</t>
  </si>
  <si>
    <t xml:space="preserve">Wrong entries or wrong order returned - rev=True dropped, or the range is off by one</t>
  </si>
  <si>
    <t xml:space="preserve">All viewers: a wrong ranking that looks entirely normal</t>
  </si>
  <si>
    <t xml:space="preserve">Exactly the top 10, descending by score, each with its score attached</t>
  </si>
  <si>
    <t xml:space="preserve">BE-LB-02</t>
  </si>
  <si>
    <t xml:space="preserve">0 entries, fewer than 10, exactly 10, more than 10</t>
  </si>
  <si>
    <t xml:space="preserve">Players: an empty or short board errors instead of rendering</t>
  </si>
  <si>
    <t xml:space="preserve">All available entries returned; an empty set returns {'leaderboard': []}, not 500</t>
  </si>
  <si>
    <t xml:space="preserve">BE-LB-03</t>
  </si>
  <si>
    <t xml:space="preserve">A cache hit within the 8s TTL returns a different shape or content from a cache miss</t>
  </si>
  <si>
    <t xml:space="preserve">Players: board changes on refresh for no visible reason</t>
  </si>
  <si>
    <t xml:space="preserve">A cached response is byte-identical to the uncached one for the same data</t>
  </si>
  <si>
    <t xml:space="preserve">BE-LB-04</t>
  </si>
  <si>
    <t xml:space="preserve">_leaderboard_cache is a module-level global, so invalidation on write is per-process - with more than one Cloud Run instance, a write served by A leaves B stale for up to 8s</t>
  </si>
  <si>
    <t xml:space="preserve">Players: submit a score, refresh, see the old board, resubmit</t>
  </si>
  <si>
    <t xml:space="preserve">Either the cache is shared, or the staleness window is documented and accepted as a known limitation</t>
  </si>
  <si>
    <t xml:space="preserve">BE-LB-05</t>
  </si>
  <si>
    <t xml:space="preserve">Redis unreachable</t>
  </si>
  <si>
    <t xml:space="preserve">Players: no board</t>
  </si>
  <si>
    <t xml:space="preserve">503; a stale cache is not returned as if it were fresh</t>
  </si>
  <si>
    <t xml:space="preserve">BE-SGET-01</t>
  </si>
  <si>
    <t xml:space="preserve">GET /api/score/{name}</t>
  </si>
  <si>
    <t xml:space="preserve">Path parameter is a bare str with no validation and no auth - NAME_PATTERN applies only to the write model</t>
  </si>
  <si>
    <t xml:space="preserve">Any visitor can probe whether a given name has a score</t>
  </si>
  <si>
    <t xml:space="preserve">200 with score: null for unknown names. Record the write/read validation asymmetry as a design finding</t>
  </si>
  <si>
    <t xml:space="preserve">BE-SGET-02</t>
  </si>
  <si>
    <t xml:space="preserve">A known name returns the wrong score, or a null for a name that does exist</t>
  </si>
  <si>
    <t xml:space="preserve">Players: decide whether to resubmit based on a wrong number</t>
  </si>
  <si>
    <t xml:space="preserve">Known name returns its exact stored score; unknown name returns 200 with score: null</t>
  </si>
  <si>
    <t xml:space="preserve">BE-SGET-03</t>
  </si>
  <si>
    <t xml:space="preserve">Redis unreachable returns something indistinguishable from 'no score recorded'</t>
  </si>
  <si>
    <t xml:space="preserve">Players: treat a backend outage as a clean slate and overwrite a better score</t>
  </si>
  <si>
    <t xml:space="preserve">503 on failure, never a 200 with a null score - the two cases must be distinguishable by the client</t>
  </si>
  <si>
    <t xml:space="preserve">BE-CHAT-01</t>
  </si>
  <si>
    <t xml:space="preserve">POST /api/chat</t>
  </si>
  <si>
    <t xml:space="preserve">User message overrides the system prompt - assistant discloses its instructions, answers off-domain, or speaks as the owner on topics it should not</t>
  </si>
  <si>
    <t xml:space="preserve">Recruiters: misled by content attributed to the owner. Owner: reputational</t>
  </si>
  <si>
    <t xml:space="preserve">Injection attempts refused or deflected; the system prompt is never disclosed. Day 11 eval set covers this</t>
  </si>
  <si>
    <t xml:space="preserve">BE-CHAT-02</t>
  </si>
  <si>
    <t xml:space="preserve">No rate limiting on a route that makes a billed Gemini call per request</t>
  </si>
  <si>
    <t xml:space="preserve">Owner: cost amplification from a public unauthenticated endpoint</t>
  </si>
  <si>
    <t xml:space="preserve">Requests throttled per client. No control exists today</t>
  </si>
  <si>
    <t xml:space="preserve">BE-CHAT-03</t>
  </si>
  <si>
    <t xml:space="preserve">An in-scope question returns an answer not grounded in the retrieved resume chunks</t>
  </si>
  <si>
    <t xml:space="preserve">Recruiters: given fabricated facts about the owner's experience</t>
  </si>
  <si>
    <t xml:space="preserve">Answers are traceable to retrieved context; out-of-corpus questions are declined rather than invented. Day 11 eval set covers this</t>
  </si>
  <si>
    <t xml:space="preserve">BE-CHAT-04</t>
  </si>
  <si>
    <t xml:space="preserve">Gemini quota exhausted - ClientError containing RESOURCE_EXHAUSTED</t>
  </si>
  <si>
    <t xml:space="preserve">Users: chat unavailable</t>
  </si>
  <si>
    <t xml:space="preserve">503 with the 'bit busy' message, distinct from BE-CHAT-05</t>
  </si>
  <si>
    <t xml:space="preserve">BE-CHAT-05</t>
  </si>
  <si>
    <t xml:space="preserve">Any other ClientError from Gemini</t>
  </si>
  <si>
    <t xml:space="preserve">502. Branch ordering matters - the RESOURCE_EXHAUSTED check runs first inside the same except block</t>
  </si>
  <si>
    <t xml:space="preserve">BE-CHAT-06</t>
  </si>
  <si>
    <t xml:space="preserve">ServerError from Gemini</t>
  </si>
  <si>
    <t xml:space="preserve">503 with the 'temporarily unavailable' message</t>
  </si>
  <si>
    <t xml:space="preserve">BE-CHAT-07</t>
  </si>
  <si>
    <t xml:space="preserve">Any other exception, including Chroma retrieval failure</t>
  </si>
  <si>
    <t xml:space="preserve">Users: chat unavailable; owner loses the diagnosis if the trace leaks or is swallowed</t>
  </si>
  <si>
    <t xml:space="preserve">500 with the generic message; stack trace logged, never returned to the client</t>
  </si>
  <si>
    <t xml:space="preserve">BE-CHAT-08</t>
  </si>
  <si>
    <t xml:space="preserve">message missing, wrong type, or body not JSON</t>
  </si>
  <si>
    <t xml:space="preserve">Users: opaque failure</t>
  </si>
  <si>
    <t xml:space="preserve">422 from Pydantic. The handler never runs, so none of the error branches above apply</t>
  </si>
  <si>
    <t xml:space="preserve">BE-CHAT-09</t>
  </si>
  <si>
    <t xml:space="preserve">message is empty, or arbitrarily long - the field has no max_length</t>
  </si>
  <si>
    <t xml:space="preserve">Owner: cost and latency from a single request</t>
  </si>
  <si>
    <t xml:space="preserve">Empty and oversized messages rejected before the Gemini call is made</t>
  </si>
  <si>
    <t xml:space="preserve">BE-HEALTH-01</t>
  </si>
  <si>
    <t xml:space="preserve">GET /health</t>
  </si>
  <si>
    <t xml:space="preserve">Returns {'status': 'ok'} unconditionally without touching Redis, Gemini, or Chroma - reports healthy while every dependency is down</t>
  </si>
  <si>
    <t xml:space="preserve">Owner: monitoring is blind; Day 12's shift-right monitor watches a check that cannot fail</t>
  </si>
  <si>
    <t xml:space="preserve">The check reflects at least one real dependency, or is documented as liveness-only with a separate readiness check</t>
  </si>
  <si>
    <t xml:space="preserve">BE-HEALTH-02</t>
  </si>
  <si>
    <t xml:space="preserve">GET /</t>
  </si>
  <si>
    <t xml:space="preserve">A second liveness path with a different response shape drifts from /health</t>
  </si>
  <si>
    <t xml:space="preserve">Owner: two health surfaces diverge silently</t>
  </si>
  <si>
    <t xml:space="preserve">200 with {'message': 'backend is alive'}; shape asserted so it cannot change unnoticed</t>
  </si>
  <si>
    <t xml:space="preserve">BE-BOOT-01</t>
  </si>
  <si>
    <t xml:space="preserve">app startup</t>
  </si>
  <si>
    <t xml:space="preserve">leaderboard.py and rag/chat.py read os.environ[...] at import time - the app cannot be imported without full production config</t>
  </si>
  <si>
    <t xml:space="preserve">Owner: deploy fails opaquely. Also blocks every test that imports the app</t>
  </si>
  <si>
    <t xml:space="preserve">App importable with test configuration; missing config produces a clear startup error</t>
  </si>
  <si>
    <t xml:space="preserve">BE-BOOT-02</t>
  </si>
  <si>
    <t xml:space="preserve">app/prompts/ask_me_system.md opened by a path relative to the process working directory</t>
  </si>
  <si>
    <t xml:space="preserve">Owner: works locally, fails under a different CWD or test runner</t>
  </si>
  <si>
    <t xml:space="preserve">Prompt loads regardless of working directory</t>
  </si>
  <si>
    <t xml:space="preserve">BE-BOOT-03</t>
  </si>
  <si>
    <t xml:space="preserve">CORS_ORIGINS unset - ''.split(',') yields [''], allowing no origin at all rather than failing loudly</t>
  </si>
  <si>
    <t xml:space="preserve">Users: frontend silently blocked by the browser against a perfectly healthy backend</t>
  </si>
  <si>
    <t xml:space="preserve">Allowed origins explicitly configured; a request carrying a permitted Origin receives the matching header</t>
  </si>
  <si>
    <t xml:space="preserve">BE-BOOT-04</t>
  </si>
  <si>
    <t xml:space="preserve">Lifespan ingestion runs whenever the Chroma collection is empty</t>
  </si>
  <si>
    <t xml:space="preserve">Owner: slow or failing cold starts; unwanted embedding work during tests</t>
  </si>
  <si>
    <t xml:space="preserve">Ingestion is idempotent and skippable; startup does not depend on an outbound network call succeeding</t>
  </si>
  <si>
    <t xml:space="preserve">MCP-01</t>
  </si>
  <si>
    <t xml:space="preserve">mcp</t>
  </si>
  <si>
    <t xml:space="preserve">resume://{id}</t>
  </si>
  <si>
    <t xml:space="preserve">A resource returns the text of the wrong chunk - the closure factory captures the loop variable rather than the value</t>
  </si>
  <si>
    <t xml:space="preserve">Clients: resume sections silently mismatched to their ids</t>
  </si>
  <si>
    <t xml:space="preserve">Every resume://{id} returns exactly the text of the chunk with that id</t>
  </si>
  <si>
    <t xml:space="preserve">MCP-02</t>
  </si>
  <si>
    <t xml:space="preserve">resources/list</t>
  </si>
  <si>
    <t xml:space="preserve">The advertised list does not match the unique ids in CHUNKS</t>
  </si>
  <si>
    <t xml:space="preserve">Clients: a section is invisible, or a dead URI is advertised</t>
  </si>
  <si>
    <t xml:space="preserve">List length and ids equal the set of unique ids in CHUNKS</t>
  </si>
  <si>
    <t xml:space="preserve">MCP-03</t>
  </si>
  <si>
    <t xml:space="preserve">Text is captured into closures at import time by _make_resource, so a running server serves the content as it was at process start</t>
  </si>
  <si>
    <t xml:space="preserve">Clients: stale resume content after an edit, with no error to signal it</t>
  </si>
  <si>
    <t xml:space="preserve">Content reflects the current CHUNKS, or staleness is documented and the server is restarted on change</t>
  </si>
  <si>
    <t xml:space="preserve">MCP-04</t>
  </si>
  <si>
    <t xml:space="preserve">resources/read</t>
  </si>
  <si>
    <t xml:space="preserve">Read on an unknown or malformed URI</t>
  </si>
  <si>
    <t xml:space="preserve">Clients: need a clean protocol error, not a crash</t>
  </si>
  <si>
    <t xml:space="preserve">Protocol-level 'resource not found'; the process stays up and continues serving other resources</t>
  </si>
  <si>
    <t xml:space="preserve">MCP-05</t>
  </si>
  <si>
    <t xml:space="preserve">server registration</t>
  </si>
  <si>
    <t xml:space="preserve">Two chunks sharing an id register the same resume:// URI twice - the second silently replaces the first</t>
  </si>
  <si>
    <t xml:space="preserve">Clients: a section disappears with no error anywhere</t>
  </si>
  <si>
    <t xml:space="preserve">Duplicate ids are rejected at load, or list length is asserted against unique ids</t>
  </si>
  <si>
    <t xml:space="preserve">MCP-06</t>
  </si>
  <si>
    <t xml:space="preserve">Every entry in CHUNKS is registered by an unfiltered loop - whatever is in the data file is exposed verbatim, without the framing the RAG system prompt applies</t>
  </si>
  <si>
    <t xml:space="preserve">Owner: content acceptable inside a curated answer is served raw to an arbitrary client</t>
  </si>
  <si>
    <t xml:space="preserve">Exposure is a deliberate allowlist, not 'everything in the module'</t>
  </si>
  <si>
    <t xml:space="preserve">MCP-07</t>
  </si>
  <si>
    <t xml:space="preserve">transport</t>
  </si>
  <si>
    <t xml:space="preserve">mcp.run() takes the default stdio transport and mcp_server.py is not copied by the Dockerfile - local-only today, with no authentication anywhere in the file</t>
  </si>
  <si>
    <t xml:space="preserve">Owner: no exposure now, but zero access control if it is ever served over HTTP</t>
  </si>
  <si>
    <t xml:space="preserve">Current local-only posture documented; any HTTP transport requires auth to be added first</t>
  </si>
  <si>
    <t xml:space="preserve">MCP-08</t>
  </si>
  <si>
    <t xml:space="preserve">server startup</t>
  </si>
  <si>
    <t xml:space="preserve">Import of app.data.resume_chunks relies on sys.path.insert against __file__</t>
  </si>
  <si>
    <t xml:space="preserve">Owner: server fails to start under a different packaging or working directory</t>
  </si>
  <si>
    <t xml:space="preserve">Server starts from any working directory</t>
  </si>
  <si>
    <t xml:space="preserve">FE-ADMIN-01</t>
  </si>
  <si>
    <t xml:space="preserve">frontend</t>
  </si>
  <si>
    <t xml:space="preserve">/admin</t>
  </si>
  <si>
    <t xml:space="preserve">No middleware.ts exists anywhere in the project, so /admin has no server-side guard - the route renders to anyone and protection is client-side state only</t>
  </si>
  <si>
    <t xml:space="preserve">Owner: admin UI and its API shape visible to any visitor</t>
  </si>
  <si>
    <t xml:space="preserve">Unauthenticated visitors cannot render the admin view; enforcement is server-side, not conditional rendering</t>
  </si>
  <si>
    <t xml:space="preserve">FE-ADMIN-02</t>
  </si>
  <si>
    <t xml:space="preserve">Admin token stored in sessionStorage - readable by any script running on the origin</t>
  </si>
  <si>
    <t xml:space="preserve">Owner: an XSS or a malicious dependency yields full admin access</t>
  </si>
  <si>
    <t xml:space="preserve">Token not reachable from JavaScript, or its blast radius limited by expiry (see BE-LOGIN-02)</t>
  </si>
  <si>
    <t xml:space="preserve">FE-ADMIN-03</t>
  </si>
  <si>
    <t xml:space="preserve">Admin actions succeed against the API but the table does not refresh, or fail while the UI reports success</t>
  </si>
  <si>
    <t xml:space="preserve">Admin: acts on a stale or wrong view</t>
  </si>
  <si>
    <t xml:space="preserve">List, delete, and clear each re-render from the API response, and failures surface as errors</t>
  </si>
  <si>
    <t xml:space="preserve">FE-CFG-01</t>
  </si>
  <si>
    <t xml:space="preserve">build</t>
  </si>
  <si>
    <t xml:space="preserve">NEXT_PUBLIC_API_URL is inlined at build time - missing or wrong means every API call fails and there is no fix without a rebuild</t>
  </si>
  <si>
    <t xml:space="preserve">All users: chat, leaderboard, and admin dead at once</t>
  </si>
  <si>
    <t xml:space="preserve">Misconfiguration fails the build or is visibly surfaced, never silently defaulted</t>
  </si>
  <si>
    <t xml:space="preserve">FE-PLAY-01</t>
  </si>
  <si>
    <t xml:space="preserve">/play</t>
  </si>
  <si>
    <t xml:space="preserve">Camera permission denied, no camera present, or a non-secure context - hand tracking never initialises</t>
  </si>
  <si>
    <t xml:space="preserve">Players: game appears broken with no explanation</t>
  </si>
  <si>
    <t xml:space="preserve">Explicit messages distinguishing denied, unavailable, and still-loading</t>
  </si>
  <si>
    <t xml:space="preserve">FE-PLAY-02</t>
  </si>
  <si>
    <t xml:space="preserve">MediaPipe model or WASM assets fail to load</t>
  </si>
  <si>
    <t xml:space="preserve">Players: blank or frozen game area</t>
  </si>
  <si>
    <t xml:space="preserve">Load failure caught and surfaced; the page does not hang indefinitely</t>
  </si>
  <si>
    <t xml:space="preserve">FE-PLAY-03</t>
  </si>
  <si>
    <t xml:space="preserve">The score submitted to the API differs from the score shown to the player</t>
  </si>
  <si>
    <t xml:space="preserve">Players: leaderboard disagrees with what they just saw</t>
  </si>
  <si>
    <t xml:space="preserve">The value POSTed to /api/score equals the displayed final score for the same run</t>
  </si>
  <si>
    <t xml:space="preserve">FE-BOUND-01</t>
  </si>
  <si>
    <t xml:space="preserve">Player name field accepts values the backend will reject - empty, 21+ chars, or illegal characters</t>
  </si>
  <si>
    <t xml:space="preserve">Players: submit a run and lose it to a 422 after the fact</t>
  </si>
  <si>
    <t xml:space="preserve">Client-side validation matches NAME_PATTERN exactly, so a name accepted here is accepted by the API</t>
  </si>
  <si>
    <t xml:space="preserve">FE-DEP-01</t>
  </si>
  <si>
    <t xml:space="preserve">/ask-me</t>
  </si>
  <si>
    <t xml:space="preserve">Backend returns 503 - chat hangs or renders an empty bubble instead of an error</t>
  </si>
  <si>
    <t xml:space="preserve">Users: unclear whether the site or their input is broken</t>
  </si>
  <si>
    <t xml:space="preserve">Error state rendered, input re-enabled, retry possible</t>
  </si>
  <si>
    <t xml:space="preserve">FE-DEP-02</t>
  </si>
  <si>
    <t xml:space="preserve">Backend returns 503 to /api/score - the run is discarded with no notice</t>
  </si>
  <si>
    <t xml:space="preserve">Players: a completed run vanishes and they never learn why</t>
  </si>
  <si>
    <t xml:space="preserve">Failure surfaced to the player; the run is not silently dropped</t>
  </si>
  <si>
    <t xml:space="preserve">FE-RENDER-01</t>
  </si>
  <si>
    <t xml:space="preserve">client pages</t>
  </si>
  <si>
    <t xml:space="preserve">/ask-me, /gallery, /play, /admin and /particles are client components - if the bundle fails or is slow the page is blank, with no server-rendered fallback and nothing for a crawler</t>
  </si>
  <si>
    <t xml:space="preserve">Recruiters on slow or restricted networks: blank page</t>
  </si>
  <si>
    <t xml:space="preserve">Meaningful content or a loading state without JavaScript execution having completed</t>
  </si>
  <si>
    <t xml:space="preserve">FE-RENDER-02</t>
  </si>
  <si>
    <t xml:space="preserve">/ and /resume</t>
  </si>
  <si>
    <t xml:space="preserve">Both are server components - a render error returns a 500 for the landing page itself</t>
  </si>
  <si>
    <t xml:space="preserve">Recruiters: first impression is an error page</t>
  </si>
  <si>
    <t xml:space="preserve">Both routes return 200 with expected content in CI on every build</t>
  </si>
  <si>
    <t xml:space="preserve">FE-DEP-03</t>
  </si>
  <si>
    <t xml:space="preserve">/particles</t>
  </si>
  <si>
    <t xml:space="preserve">WebGL unsupported or blocked</t>
  </si>
  <si>
    <t xml:space="preserve">Visitors: blank page with no explanation</t>
  </si>
  <si>
    <t xml:space="preserve">Unsupported context detected and a fallback or message shown</t>
  </si>
  <si>
    <t xml:space="preserve">FE-STORE-01</t>
  </si>
  <si>
    <t xml:space="preserve">Player name kept in sessionStorage - lost on tab close</t>
  </si>
  <si>
    <t xml:space="preserve">Players: re-enter the name, possibly fragmenting their own score history</t>
  </si>
  <si>
    <t xml:space="preserve">Documented as intentional, or persisted deliberately</t>
  </si>
  <si>
    <t xml:space="preserve">FE-NAV-01</t>
  </si>
  <si>
    <t xml:space="preserve">site</t>
  </si>
  <si>
    <t xml:space="preserve">Navigation omits /particles and /admin, which remain publicly routable</t>
  </si>
  <si>
    <t xml:space="preserve">Owner: unlinked routes drift out of test and review coverage</t>
  </si>
  <si>
    <t xml:space="preserve">Every routable page is enumerated and smoke-checked regardless of whether it is linked</t>
  </si>
  <si>
    <t xml:space="preserve">Out of scope — deliberate exclusions</t>
  </si>
  <si>
    <t xml:space="preserve">Item</t>
  </si>
  <si>
    <t xml:space="preserve">Reason (a decision, not an absence)</t>
  </si>
  <si>
    <t xml:space="preserve">What covers it instead</t>
  </si>
  <si>
    <t xml:space="preserve">Three.js particle rendering fidelity</t>
  </si>
  <si>
    <t xml:space="preserve">No deterministic oracle. Output depends on GPU, driver and frame timing, so any assertion would be either trivial or flaky.</t>
  </si>
  <si>
    <t xml:space="preserve">FE-RENDER-01 and FE-DEP-03 cover the page loading and the unsupported-WebGL path.</t>
  </si>
  <si>
    <t xml:space="preserve">MediaPipe hand-detection accuracy</t>
  </si>
  <si>
    <t xml:space="preserve">A third-party model, not project code, and its accuracy is not something this project can change.</t>
  </si>
  <si>
    <t xml:space="preserve">FE-PLAY-01 and FE-PLAY-02 cover our handling of its permission and load failures.</t>
  </si>
  <si>
    <t xml:space="preserve">Gemini generation quality as such</t>
  </si>
  <si>
    <t xml:space="preserve">Non-deterministic and not meaningfully assertable. Fluency and phrasing cannot be pinned to an expected value.</t>
  </si>
  <si>
    <t xml:space="preserve">BE-CHAT-01 and BE-CHAT-03 cover injection resistance and grounding, which are deterministic against a fixed eval set (Day 11).</t>
  </si>
  <si>
    <t xml:space="preserve">Cloud Run deployment and infrastructure</t>
  </si>
  <si>
    <t xml:space="preserve">No staging environment exists, so deployment behaviour cannot be exercised without affecting production.</t>
  </si>
  <si>
    <t xml:space="preserve">Day 7 covers the CI quality gate that precedes deployment, not the deployment itself.</t>
  </si>
  <si>
    <t xml:space="preserve">Load and performance testing</t>
  </si>
  <si>
    <t xml:space="preserve">Single-user portfolio site with no representative traffic profile, and no environment to generate load against safely.</t>
  </si>
  <si>
    <t xml:space="preserve">See the declared contradiction below.</t>
  </si>
  <si>
    <t xml:space="preserve">Visual regression testing</t>
  </si>
  <si>
    <t xml:space="preserve">No baseline exists and the design is still changing; screenshot diffs would produce noise rather than signal at this stage.</t>
  </si>
  <si>
    <t xml:space="preserve">Day 8 functional E2E and Day 9 accessibility cover behaviour and structure.</t>
  </si>
  <si>
    <t xml:space="preserve">DECLARED CONTRADICTION</t>
  </si>
  <si>
    <t xml:space="preserve">BE-LOGIN-01 and BE-CHAT-02 are both P1 abuse risks whose consequences are load-shaped, while load testing is out of scope.</t>
  </si>
  <si>
    <t xml:space="preserve">This is deliberate: both are tested as absence-of-control assertions at unit level and filed as defects on Day 3.</t>
  </si>
  <si>
    <t xml:space="preserve">Demonstrating that a control is missing does not require generating the load that would exploit it.</t>
  </si>
  <si>
    <t xml:space="preserve">Adding throttling later would change this decision and this row should be revisited on Day 13.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</si>
</sst>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3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7" customFormat="false" ht="26.8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4" t="s">
        <v>8</v>
      </c>
      <c r="B12" s="4" t="s">
        <v>9</v>
      </c>
      <c r="C12" s="4" t="s">
        <v>10</v>
      </c>
      <c r="D12" s="4" t="s">
        <v>11</v>
      </c>
    </row>
    <row r="13" customFormat="false" ht="26.85" hidden="false" customHeight="false" outlineLevel="0" collapsed="false">
      <c r="A13" s="2" t="s">
        <v>12</v>
      </c>
      <c r="B13" s="2" t="s">
        <v>13</v>
      </c>
      <c r="C13" s="2" t="s">
        <v>14</v>
      </c>
      <c r="D13" s="2" t="s">
        <v>15</v>
      </c>
    </row>
    <row r="14" customFormat="false" ht="26.85" hidden="false" customHeight="false" outlineLevel="0" collapsed="false">
      <c r="A14" s="2" t="s">
        <v>16</v>
      </c>
      <c r="B14" s="2" t="s">
        <v>17</v>
      </c>
      <c r="C14" s="2" t="s">
        <v>18</v>
      </c>
      <c r="D14" s="2" t="s">
        <v>19</v>
      </c>
    </row>
    <row r="15" customFormat="false" ht="26.85" hidden="false" customHeight="false" outlineLevel="0" collapsed="false">
      <c r="A15" s="2" t="s">
        <v>20</v>
      </c>
      <c r="B15" s="2" t="s">
        <v>21</v>
      </c>
      <c r="C15" s="2" t="s">
        <v>22</v>
      </c>
      <c r="D15" s="2" t="s">
        <v>23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4" t="s">
        <v>8</v>
      </c>
      <c r="B18" s="4" t="s">
        <v>9</v>
      </c>
      <c r="C18" s="4" t="s">
        <v>10</v>
      </c>
      <c r="D18" s="4" t="s">
        <v>11</v>
      </c>
    </row>
    <row r="19" customFormat="false" ht="15" hidden="false" customHeight="false" outlineLevel="0" collapsed="false">
      <c r="A19" s="2" t="s">
        <v>25</v>
      </c>
      <c r="B19" s="2" t="s">
        <v>26</v>
      </c>
      <c r="C19" s="2" t="s">
        <v>27</v>
      </c>
      <c r="D19" s="2" t="s">
        <v>28</v>
      </c>
    </row>
    <row r="20" customFormat="false" ht="15" hidden="false" customHeight="false" outlineLevel="0" collapsed="false">
      <c r="A20" s="2" t="s">
        <v>29</v>
      </c>
      <c r="B20" s="2" t="s">
        <v>30</v>
      </c>
      <c r="C20" s="2" t="s">
        <v>31</v>
      </c>
      <c r="D20" s="2" t="s">
        <v>32</v>
      </c>
    </row>
    <row r="21" customFormat="false" ht="15" hidden="false" customHeight="false" outlineLevel="0" collapsed="false">
      <c r="A21" s="2" t="s">
        <v>33</v>
      </c>
      <c r="B21" s="2" t="s">
        <v>34</v>
      </c>
      <c r="C21" s="2" t="s">
        <v>35</v>
      </c>
      <c r="D21" s="2" t="s">
        <v>36</v>
      </c>
    </row>
    <row r="23" customFormat="false" ht="26.85" hidden="false" customHeight="false" outlineLevel="0" collapsed="false">
      <c r="A23" s="2" t="s">
        <v>37</v>
      </c>
    </row>
    <row r="24" customFormat="false" ht="26.85" hidden="false" customHeight="false" outlineLevel="0" collapsed="false">
      <c r="A24" s="2" t="s">
        <v>38</v>
      </c>
    </row>
    <row r="26" customFormat="false" ht="15" hidden="false" customHeight="false" outlineLevel="0" collapsed="false">
      <c r="A26" s="3" t="s">
        <v>39</v>
      </c>
    </row>
    <row r="27" customFormat="false" ht="15" hidden="false" customHeight="false" outlineLevel="0" collapsed="false">
      <c r="A27" s="5" t="s">
        <v>40</v>
      </c>
      <c r="B27" s="6" t="s">
        <v>41</v>
      </c>
      <c r="C27" s="5" t="s">
        <v>42</v>
      </c>
    </row>
    <row r="28" customFormat="false" ht="15" hidden="false" customHeight="false" outlineLevel="0" collapsed="false">
      <c r="A28" s="5" t="s">
        <v>43</v>
      </c>
      <c r="B28" s="6" t="s">
        <v>44</v>
      </c>
      <c r="C28" s="5" t="s">
        <v>45</v>
      </c>
    </row>
    <row r="29" customFormat="false" ht="15" hidden="false" customHeight="false" outlineLevel="0" collapsed="false">
      <c r="A29" s="5" t="s">
        <v>46</v>
      </c>
      <c r="B29" s="6" t="s">
        <v>47</v>
      </c>
      <c r="C29" s="5" t="s">
        <v>48</v>
      </c>
    </row>
    <row r="31" customFormat="false" ht="15" hidden="false" customHeight="false" outlineLevel="0" collapsed="false">
      <c r="A31" s="3" t="s">
        <v>49</v>
      </c>
    </row>
    <row r="32" customFormat="false" ht="15" hidden="false" customHeight="false" outlineLevel="0" collapsed="false">
      <c r="A32" s="4" t="s">
        <v>50</v>
      </c>
      <c r="B32" s="4" t="s">
        <v>51</v>
      </c>
      <c r="C32" s="4" t="s">
        <v>52</v>
      </c>
    </row>
    <row r="33" customFormat="false" ht="15" hidden="false" customHeight="false" outlineLevel="0" collapsed="false">
      <c r="A33" s="2" t="s">
        <v>53</v>
      </c>
      <c r="B33" s="2" t="s">
        <v>54</v>
      </c>
      <c r="C33" s="2" t="s">
        <v>55</v>
      </c>
    </row>
    <row r="34" customFormat="false" ht="26.85" hidden="false" customHeight="false" outlineLevel="0" collapsed="false">
      <c r="A34" s="2" t="s">
        <v>56</v>
      </c>
      <c r="B34" s="2" t="s">
        <v>57</v>
      </c>
      <c r="C34" s="2" t="s">
        <v>58</v>
      </c>
    </row>
    <row r="35" customFormat="false" ht="26.85" hidden="false" customHeight="false" outlineLevel="0" collapsed="false">
      <c r="A35" s="2" t="s">
        <v>59</v>
      </c>
      <c r="B35" s="2" t="s">
        <v>60</v>
      </c>
      <c r="C35" s="2" t="s">
        <v>61</v>
      </c>
    </row>
    <row r="36" customFormat="false" ht="26.85" hidden="false" customHeight="false" outlineLevel="0" collapsed="false">
      <c r="A36" s="2" t="s">
        <v>62</v>
      </c>
      <c r="B36" s="2" t="s">
        <v>63</v>
      </c>
      <c r="C36" s="2" t="s">
        <v>64</v>
      </c>
    </row>
    <row r="37" customFormat="false" ht="26.85" hidden="false" customHeight="false" outlineLevel="0" collapsed="false">
      <c r="A37" s="2" t="s">
        <v>65</v>
      </c>
      <c r="B37" s="2" t="s">
        <v>66</v>
      </c>
      <c r="C37" s="2" t="s">
        <v>67</v>
      </c>
    </row>
    <row r="39" customFormat="false" ht="26.85" hidden="false" customHeight="false" outlineLevel="0" collapsed="false">
      <c r="A39" s="2" t="s">
        <v>68</v>
      </c>
    </row>
    <row r="41" customFormat="false" ht="15" hidden="false" customHeight="false" outlineLevel="0" collapsed="false">
      <c r="A41" s="3" t="s">
        <v>69</v>
      </c>
    </row>
    <row r="42" customFormat="false" ht="26.85" hidden="false" customHeight="false" outlineLevel="0" collapsed="false">
      <c r="A42" s="2" t="s">
        <v>70</v>
      </c>
    </row>
    <row r="43" customFormat="false" ht="26.85" hidden="false" customHeight="false" outlineLevel="0" collapsed="false">
      <c r="A43" s="2" t="s">
        <v>71</v>
      </c>
    </row>
    <row r="44" customFormat="false" ht="26.85" hidden="false" customHeight="false" outlineLevel="0" collapsed="false">
      <c r="A44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62"/>
    <col collapsed="false" customWidth="true" hidden="false" outlineLevel="0" max="6" min="6" style="0" width="46"/>
    <col collapsed="false" customWidth="true" hidden="false" outlineLevel="0" max="9" min="7" style="0" width="4"/>
    <col collapsed="false" customWidth="true" hidden="false" outlineLevel="0" max="10" min="10" style="0" width="5"/>
    <col collapsed="false" customWidth="true" hidden="false" outlineLevel="0" max="11" min="11" style="0" width="4"/>
    <col collapsed="false" customWidth="true" hidden="false" outlineLevel="0" max="12" min="12" style="0" width="5"/>
    <col collapsed="false" customWidth="true" hidden="false" outlineLevel="0" max="13" min="13" style="0" width="4"/>
    <col collapsed="false" customWidth="true" hidden="false" outlineLevel="0" max="14" min="14" style="0" width="5"/>
    <col collapsed="false" customWidth="true" hidden="false" outlineLevel="0" max="15" min="15" style="0" width="6"/>
    <col collapsed="false" customWidth="true" hidden="false" outlineLevel="0" max="16" min="16" style="0" width="9"/>
    <col collapsed="false" customWidth="true" hidden="false" outlineLevel="0" max="17" min="17" style="0" width="62"/>
  </cols>
  <sheetData>
    <row r="1" customFormat="false" ht="15" hidden="false" customHeight="false" outlineLevel="0" collapsed="false">
      <c r="A1" s="7" t="s">
        <v>73</v>
      </c>
      <c r="B1" s="7" t="s">
        <v>74</v>
      </c>
      <c r="C1" s="7" t="s">
        <v>75</v>
      </c>
      <c r="D1" s="7" t="s">
        <v>50</v>
      </c>
      <c r="E1" s="7" t="s">
        <v>76</v>
      </c>
      <c r="F1" s="7" t="s">
        <v>77</v>
      </c>
      <c r="G1" s="7" t="s">
        <v>78</v>
      </c>
      <c r="H1" s="7" t="s">
        <v>79</v>
      </c>
      <c r="I1" s="7" t="s">
        <v>80</v>
      </c>
      <c r="J1" s="7" t="s">
        <v>81</v>
      </c>
      <c r="K1" s="7" t="s">
        <v>82</v>
      </c>
      <c r="L1" s="7" t="s">
        <v>83</v>
      </c>
      <c r="M1" s="7" t="s">
        <v>84</v>
      </c>
      <c r="N1" s="7" t="s">
        <v>85</v>
      </c>
      <c r="O1" s="7" t="s">
        <v>86</v>
      </c>
      <c r="P1" s="7" t="s">
        <v>87</v>
      </c>
      <c r="Q1" s="7" t="s">
        <v>88</v>
      </c>
    </row>
    <row r="2" customFormat="false" ht="23.85" hidden="false" customHeight="false" outlineLevel="0" collapsed="false">
      <c r="A2" s="8" t="s">
        <v>89</v>
      </c>
      <c r="B2" s="8" t="s">
        <v>90</v>
      </c>
      <c r="C2" s="9" t="s">
        <v>91</v>
      </c>
      <c r="D2" s="8" t="s">
        <v>65</v>
      </c>
      <c r="E2" s="9" t="s">
        <v>92</v>
      </c>
      <c r="F2" s="9" t="s">
        <v>93</v>
      </c>
      <c r="G2" s="10" t="n">
        <v>3</v>
      </c>
      <c r="H2" s="10" t="n">
        <v>1</v>
      </c>
      <c r="I2" s="10" t="n">
        <v>3</v>
      </c>
      <c r="J2" s="11" t="n">
        <f aca="false">MIN(G2,MAX(H2,I2))</f>
        <v>3</v>
      </c>
      <c r="K2" s="10" t="n">
        <v>3</v>
      </c>
      <c r="L2" s="10" t="n">
        <v>2</v>
      </c>
      <c r="M2" s="10" t="n">
        <v>3</v>
      </c>
      <c r="N2" s="11" t="n">
        <f aca="false">MAX(K2,L2,M2)</f>
        <v>3</v>
      </c>
      <c r="O2" s="12" t="n">
        <f aca="false">J2*N2</f>
        <v>9</v>
      </c>
      <c r="P2" s="12" t="str">
        <f aca="false">IF(O2&gt;=6,"P1",IF(O2&gt;=3,"P2","P3"))</f>
        <v>P1</v>
      </c>
      <c r="Q2" s="9" t="s">
        <v>94</v>
      </c>
    </row>
    <row r="3" customFormat="false" ht="23.85" hidden="false" customHeight="false" outlineLevel="0" collapsed="false">
      <c r="A3" s="8" t="s">
        <v>95</v>
      </c>
      <c r="B3" s="8" t="s">
        <v>90</v>
      </c>
      <c r="C3" s="9" t="s">
        <v>91</v>
      </c>
      <c r="D3" s="8" t="s">
        <v>65</v>
      </c>
      <c r="E3" s="9" t="s">
        <v>96</v>
      </c>
      <c r="F3" s="9" t="s">
        <v>97</v>
      </c>
      <c r="G3" s="10" t="n">
        <v>3</v>
      </c>
      <c r="H3" s="10" t="n">
        <v>3</v>
      </c>
      <c r="I3" s="10" t="n">
        <v>3</v>
      </c>
      <c r="J3" s="11" t="n">
        <f aca="false">MIN(G3,MAX(H3,I3))</f>
        <v>3</v>
      </c>
      <c r="K3" s="10" t="n">
        <v>3</v>
      </c>
      <c r="L3" s="10" t="n">
        <v>2</v>
      </c>
      <c r="M3" s="10" t="n">
        <v>3</v>
      </c>
      <c r="N3" s="11" t="n">
        <f aca="false">MAX(K3,L3,M3)</f>
        <v>3</v>
      </c>
      <c r="O3" s="12" t="n">
        <f aca="false">J3*N3</f>
        <v>9</v>
      </c>
      <c r="P3" s="12" t="str">
        <f aca="false">IF(O3&gt;=6,"P1",IF(O3&gt;=3,"P2","P3"))</f>
        <v>P1</v>
      </c>
      <c r="Q3" s="9" t="s">
        <v>98</v>
      </c>
    </row>
    <row r="4" customFormat="false" ht="23.85" hidden="false" customHeight="false" outlineLevel="0" collapsed="false">
      <c r="A4" s="8" t="s">
        <v>99</v>
      </c>
      <c r="B4" s="8" t="s">
        <v>90</v>
      </c>
      <c r="C4" s="9" t="s">
        <v>91</v>
      </c>
      <c r="D4" s="8" t="s">
        <v>53</v>
      </c>
      <c r="E4" s="9" t="s">
        <v>100</v>
      </c>
      <c r="F4" s="9" t="s">
        <v>101</v>
      </c>
      <c r="G4" s="10" t="n">
        <v>3</v>
      </c>
      <c r="H4" s="10" t="n">
        <v>1</v>
      </c>
      <c r="I4" s="10" t="n">
        <v>2</v>
      </c>
      <c r="J4" s="11" t="n">
        <f aca="false">MIN(G4,MAX(H4,I4))</f>
        <v>2</v>
      </c>
      <c r="K4" s="10" t="n">
        <v>3</v>
      </c>
      <c r="L4" s="10" t="n">
        <v>2</v>
      </c>
      <c r="M4" s="10" t="n">
        <v>3</v>
      </c>
      <c r="N4" s="11" t="n">
        <f aca="false">MAX(K4,L4,M4)</f>
        <v>3</v>
      </c>
      <c r="O4" s="12" t="n">
        <f aca="false">J4*N4</f>
        <v>6</v>
      </c>
      <c r="P4" s="12" t="str">
        <f aca="false">IF(O4&gt;=6,"P1",IF(O4&gt;=3,"P2","P3"))</f>
        <v>P1</v>
      </c>
      <c r="Q4" s="9" t="s">
        <v>102</v>
      </c>
    </row>
    <row r="5" customFormat="false" ht="15" hidden="false" customHeight="false" outlineLevel="0" collapsed="false">
      <c r="A5" s="8" t="s">
        <v>103</v>
      </c>
      <c r="B5" s="8" t="s">
        <v>90</v>
      </c>
      <c r="C5" s="9" t="s">
        <v>91</v>
      </c>
      <c r="D5" s="8" t="s">
        <v>53</v>
      </c>
      <c r="E5" s="9" t="s">
        <v>104</v>
      </c>
      <c r="F5" s="9" t="s">
        <v>105</v>
      </c>
      <c r="G5" s="10" t="n">
        <v>1</v>
      </c>
      <c r="H5" s="10" t="n">
        <v>1</v>
      </c>
      <c r="I5" s="10" t="n">
        <v>2</v>
      </c>
      <c r="J5" s="11" t="n">
        <f aca="false">MIN(G5,MAX(H5,I5))</f>
        <v>1</v>
      </c>
      <c r="K5" s="10" t="n">
        <v>2</v>
      </c>
      <c r="L5" s="10" t="n">
        <v>2</v>
      </c>
      <c r="M5" s="10" t="n">
        <v>1</v>
      </c>
      <c r="N5" s="11" t="n">
        <f aca="false">MAX(K5,L5,M5)</f>
        <v>2</v>
      </c>
      <c r="O5" s="12" t="n">
        <f aca="false">J5*N5</f>
        <v>2</v>
      </c>
      <c r="P5" s="12" t="str">
        <f aca="false">IF(O5&gt;=6,"P1",IF(O5&gt;=3,"P2","P3"))</f>
        <v>P3</v>
      </c>
      <c r="Q5" s="9" t="s">
        <v>106</v>
      </c>
    </row>
    <row r="6" customFormat="false" ht="15" hidden="false" customHeight="false" outlineLevel="0" collapsed="false">
      <c r="A6" s="8" t="s">
        <v>107</v>
      </c>
      <c r="B6" s="8" t="s">
        <v>90</v>
      </c>
      <c r="C6" s="9" t="s">
        <v>91</v>
      </c>
      <c r="D6" s="8" t="s">
        <v>56</v>
      </c>
      <c r="E6" s="9" t="s">
        <v>108</v>
      </c>
      <c r="F6" s="9" t="s">
        <v>109</v>
      </c>
      <c r="G6" s="10" t="n">
        <v>3</v>
      </c>
      <c r="H6" s="10" t="n">
        <v>2</v>
      </c>
      <c r="I6" s="10" t="n">
        <v>1</v>
      </c>
      <c r="J6" s="11" t="n">
        <f aca="false">MIN(G6,MAX(H6,I6))</f>
        <v>2</v>
      </c>
      <c r="K6" s="10" t="n">
        <v>1</v>
      </c>
      <c r="L6" s="10" t="n">
        <v>1</v>
      </c>
      <c r="M6" s="10" t="n">
        <v>1</v>
      </c>
      <c r="N6" s="11" t="n">
        <f aca="false">MAX(K6,L6,M6)</f>
        <v>1</v>
      </c>
      <c r="O6" s="12" t="n">
        <f aca="false">J6*N6</f>
        <v>2</v>
      </c>
      <c r="P6" s="12" t="str">
        <f aca="false">IF(O6&gt;=6,"P1",IF(O6&gt;=3,"P2","P3"))</f>
        <v>P3</v>
      </c>
      <c r="Q6" s="9" t="s">
        <v>110</v>
      </c>
    </row>
    <row r="7" customFormat="false" ht="15" hidden="false" customHeight="false" outlineLevel="0" collapsed="false">
      <c r="A7" s="8" t="s">
        <v>111</v>
      </c>
      <c r="B7" s="8" t="s">
        <v>90</v>
      </c>
      <c r="C7" s="9" t="s">
        <v>91</v>
      </c>
      <c r="D7" s="8" t="s">
        <v>56</v>
      </c>
      <c r="E7" s="9" t="s">
        <v>112</v>
      </c>
      <c r="F7" s="9" t="s">
        <v>113</v>
      </c>
      <c r="G7" s="10" t="n">
        <v>3</v>
      </c>
      <c r="H7" s="10" t="n">
        <v>2</v>
      </c>
      <c r="I7" s="10" t="n">
        <v>2</v>
      </c>
      <c r="J7" s="11" t="n">
        <f aca="false">MIN(G7,MAX(H7,I7))</f>
        <v>2</v>
      </c>
      <c r="K7" s="10" t="n">
        <v>1</v>
      </c>
      <c r="L7" s="10" t="n">
        <v>1</v>
      </c>
      <c r="M7" s="10" t="n">
        <v>1</v>
      </c>
      <c r="N7" s="11" t="n">
        <f aca="false">MAX(K7,L7,M7)</f>
        <v>1</v>
      </c>
      <c r="O7" s="12" t="n">
        <f aca="false">J7*N7</f>
        <v>2</v>
      </c>
      <c r="P7" s="12" t="str">
        <f aca="false">IF(O7&gt;=6,"P1",IF(O7&gt;=3,"P2","P3"))</f>
        <v>P3</v>
      </c>
      <c r="Q7" s="9" t="s">
        <v>114</v>
      </c>
    </row>
    <row r="8" customFormat="false" ht="23.85" hidden="false" customHeight="false" outlineLevel="0" collapsed="false">
      <c r="A8" s="8" t="s">
        <v>115</v>
      </c>
      <c r="B8" s="8" t="s">
        <v>90</v>
      </c>
      <c r="C8" s="9" t="s">
        <v>91</v>
      </c>
      <c r="D8" s="8" t="s">
        <v>59</v>
      </c>
      <c r="E8" s="9" t="s">
        <v>116</v>
      </c>
      <c r="F8" s="9" t="s">
        <v>117</v>
      </c>
      <c r="G8" s="10" t="n">
        <v>3</v>
      </c>
      <c r="H8" s="10" t="n">
        <v>1</v>
      </c>
      <c r="I8" s="10" t="n">
        <v>2</v>
      </c>
      <c r="J8" s="11" t="n">
        <f aca="false">MIN(G8,MAX(H8,I8))</f>
        <v>2</v>
      </c>
      <c r="K8" s="10" t="n">
        <v>2</v>
      </c>
      <c r="L8" s="10" t="n">
        <v>2</v>
      </c>
      <c r="M8" s="10" t="n">
        <v>1</v>
      </c>
      <c r="N8" s="11" t="n">
        <f aca="false">MAX(K8,L8,M8)</f>
        <v>2</v>
      </c>
      <c r="O8" s="12" t="n">
        <f aca="false">J8*N8</f>
        <v>4</v>
      </c>
      <c r="P8" s="12" t="str">
        <f aca="false">IF(O8&gt;=6,"P1",IF(O8&gt;=3,"P2","P3"))</f>
        <v>P2</v>
      </c>
      <c r="Q8" s="9" t="s">
        <v>118</v>
      </c>
    </row>
    <row r="9" customFormat="false" ht="15" hidden="false" customHeight="false" outlineLevel="0" collapsed="false">
      <c r="A9" s="8" t="s">
        <v>119</v>
      </c>
      <c r="B9" s="8" t="s">
        <v>90</v>
      </c>
      <c r="C9" s="9" t="s">
        <v>91</v>
      </c>
      <c r="D9" s="8" t="s">
        <v>62</v>
      </c>
      <c r="E9" s="9" t="s">
        <v>120</v>
      </c>
      <c r="F9" s="9" t="s">
        <v>121</v>
      </c>
      <c r="G9" s="10" t="n">
        <v>3</v>
      </c>
      <c r="H9" s="10" t="n">
        <v>1</v>
      </c>
      <c r="I9" s="10" t="n">
        <v>1</v>
      </c>
      <c r="J9" s="11" t="n">
        <f aca="false">MIN(G9,MAX(H9,I9))</f>
        <v>1</v>
      </c>
      <c r="K9" s="10" t="n">
        <v>3</v>
      </c>
      <c r="L9" s="10" t="n">
        <v>3</v>
      </c>
      <c r="M9" s="10" t="n">
        <v>3</v>
      </c>
      <c r="N9" s="11" t="n">
        <f aca="false">MAX(K9,L9,M9)</f>
        <v>3</v>
      </c>
      <c r="O9" s="12" t="n">
        <f aca="false">J9*N9</f>
        <v>3</v>
      </c>
      <c r="P9" s="12" t="str">
        <f aca="false">IF(O9&gt;=6,"P1",IF(O9&gt;=3,"P2","P3"))</f>
        <v>P2</v>
      </c>
      <c r="Q9" s="9" t="s">
        <v>122</v>
      </c>
    </row>
    <row r="10" customFormat="false" ht="23.85" hidden="false" customHeight="false" outlineLevel="0" collapsed="false">
      <c r="A10" s="8" t="s">
        <v>123</v>
      </c>
      <c r="B10" s="8" t="s">
        <v>90</v>
      </c>
      <c r="C10" s="9" t="s">
        <v>124</v>
      </c>
      <c r="D10" s="8" t="s">
        <v>65</v>
      </c>
      <c r="E10" s="9" t="s">
        <v>125</v>
      </c>
      <c r="F10" s="9" t="s">
        <v>126</v>
      </c>
      <c r="G10" s="10" t="n">
        <v>3</v>
      </c>
      <c r="H10" s="10" t="n">
        <v>2</v>
      </c>
      <c r="I10" s="10" t="n">
        <v>2</v>
      </c>
      <c r="J10" s="11" t="n">
        <f aca="false">MIN(G10,MAX(H10,I10))</f>
        <v>2</v>
      </c>
      <c r="K10" s="10" t="n">
        <v>3</v>
      </c>
      <c r="L10" s="10" t="n">
        <v>2</v>
      </c>
      <c r="M10" s="10" t="n">
        <v>3</v>
      </c>
      <c r="N10" s="11" t="n">
        <f aca="false">MAX(K10,L10,M10)</f>
        <v>3</v>
      </c>
      <c r="O10" s="12" t="n">
        <f aca="false">J10*N10</f>
        <v>6</v>
      </c>
      <c r="P10" s="12" t="str">
        <f aca="false">IF(O10&gt;=6,"P1",IF(O10&gt;=3,"P2","P3"))</f>
        <v>P1</v>
      </c>
      <c r="Q10" s="9" t="s">
        <v>127</v>
      </c>
    </row>
    <row r="11" customFormat="false" ht="23.85" hidden="false" customHeight="false" outlineLevel="0" collapsed="false">
      <c r="A11" s="8" t="s">
        <v>128</v>
      </c>
      <c r="B11" s="8" t="s">
        <v>90</v>
      </c>
      <c r="C11" s="9" t="s">
        <v>124</v>
      </c>
      <c r="D11" s="8" t="s">
        <v>53</v>
      </c>
      <c r="E11" s="9" t="s">
        <v>129</v>
      </c>
      <c r="F11" s="9" t="s">
        <v>130</v>
      </c>
      <c r="G11" s="10" t="n">
        <v>1</v>
      </c>
      <c r="H11" s="10" t="n">
        <v>3</v>
      </c>
      <c r="I11" s="10" t="n">
        <v>2</v>
      </c>
      <c r="J11" s="11" t="n">
        <f aca="false">MIN(G11,MAX(H11,I11))</f>
        <v>1</v>
      </c>
      <c r="K11" s="10" t="n">
        <v>2</v>
      </c>
      <c r="L11" s="10" t="n">
        <v>1</v>
      </c>
      <c r="M11" s="10" t="n">
        <v>3</v>
      </c>
      <c r="N11" s="11" t="n">
        <f aca="false">MAX(K11,L11,M11)</f>
        <v>3</v>
      </c>
      <c r="O11" s="12" t="n">
        <f aca="false">J11*N11</f>
        <v>3</v>
      </c>
      <c r="P11" s="12" t="str">
        <f aca="false">IF(O11&gt;=6,"P1",IF(O11&gt;=3,"P2","P3"))</f>
        <v>P2</v>
      </c>
      <c r="Q11" s="9" t="s">
        <v>131</v>
      </c>
    </row>
    <row r="12" customFormat="false" ht="23.85" hidden="false" customHeight="false" outlineLevel="0" collapsed="false">
      <c r="A12" s="8" t="s">
        <v>132</v>
      </c>
      <c r="B12" s="8" t="s">
        <v>90</v>
      </c>
      <c r="C12" s="9" t="s">
        <v>124</v>
      </c>
      <c r="D12" s="8" t="s">
        <v>59</v>
      </c>
      <c r="E12" s="9" t="s">
        <v>133</v>
      </c>
      <c r="F12" s="9" t="s">
        <v>134</v>
      </c>
      <c r="G12" s="10" t="n">
        <v>1</v>
      </c>
      <c r="H12" s="10" t="n">
        <v>2</v>
      </c>
      <c r="I12" s="10" t="n">
        <v>2</v>
      </c>
      <c r="J12" s="11" t="n">
        <f aca="false">MIN(G12,MAX(H12,I12))</f>
        <v>1</v>
      </c>
      <c r="K12" s="10" t="n">
        <v>2</v>
      </c>
      <c r="L12" s="10" t="n">
        <v>1</v>
      </c>
      <c r="M12" s="10" t="n">
        <v>1</v>
      </c>
      <c r="N12" s="11" t="n">
        <f aca="false">MAX(K12,L12,M12)</f>
        <v>2</v>
      </c>
      <c r="O12" s="12" t="n">
        <f aca="false">J12*N12</f>
        <v>2</v>
      </c>
      <c r="P12" s="12" t="str">
        <f aca="false">IF(O12&gt;=6,"P1",IF(O12&gt;=3,"P2","P3"))</f>
        <v>P3</v>
      </c>
      <c r="Q12" s="9" t="s">
        <v>135</v>
      </c>
    </row>
    <row r="13" customFormat="false" ht="15" hidden="false" customHeight="false" outlineLevel="0" collapsed="false">
      <c r="A13" s="8" t="s">
        <v>136</v>
      </c>
      <c r="B13" s="8" t="s">
        <v>90</v>
      </c>
      <c r="C13" s="9" t="s">
        <v>137</v>
      </c>
      <c r="D13" s="8" t="s">
        <v>65</v>
      </c>
      <c r="E13" s="9" t="s">
        <v>138</v>
      </c>
      <c r="F13" s="9" t="s">
        <v>139</v>
      </c>
      <c r="G13" s="10" t="n">
        <v>3</v>
      </c>
      <c r="H13" s="10" t="n">
        <v>2</v>
      </c>
      <c r="I13" s="10" t="n">
        <v>2</v>
      </c>
      <c r="J13" s="11" t="n">
        <f aca="false">MIN(G13,MAX(H13,I13))</f>
        <v>2</v>
      </c>
      <c r="K13" s="10" t="n">
        <v>3</v>
      </c>
      <c r="L13" s="10" t="n">
        <v>3</v>
      </c>
      <c r="M13" s="10" t="n">
        <v>2</v>
      </c>
      <c r="N13" s="11" t="n">
        <f aca="false">MAX(K13,L13,M13)</f>
        <v>3</v>
      </c>
      <c r="O13" s="12" t="n">
        <f aca="false">J13*N13</f>
        <v>6</v>
      </c>
      <c r="P13" s="12" t="str">
        <f aca="false">IF(O13&gt;=6,"P1",IF(O13&gt;=3,"P2","P3"))</f>
        <v>P1</v>
      </c>
      <c r="Q13" s="9" t="s">
        <v>140</v>
      </c>
    </row>
    <row r="14" customFormat="false" ht="23.85" hidden="false" customHeight="false" outlineLevel="0" collapsed="false">
      <c r="A14" s="8" t="s">
        <v>141</v>
      </c>
      <c r="B14" s="8" t="s">
        <v>90</v>
      </c>
      <c r="C14" s="9" t="s">
        <v>137</v>
      </c>
      <c r="D14" s="8" t="s">
        <v>53</v>
      </c>
      <c r="E14" s="9" t="s">
        <v>142</v>
      </c>
      <c r="F14" s="9" t="s">
        <v>143</v>
      </c>
      <c r="G14" s="10" t="n">
        <v>1</v>
      </c>
      <c r="H14" s="10" t="n">
        <v>3</v>
      </c>
      <c r="I14" s="10" t="n">
        <v>3</v>
      </c>
      <c r="J14" s="11" t="n">
        <f aca="false">MIN(G14,MAX(H14,I14))</f>
        <v>1</v>
      </c>
      <c r="K14" s="10" t="n">
        <v>1</v>
      </c>
      <c r="L14" s="10" t="n">
        <v>1</v>
      </c>
      <c r="M14" s="10" t="n">
        <v>3</v>
      </c>
      <c r="N14" s="11" t="n">
        <f aca="false">MAX(K14,L14,M14)</f>
        <v>3</v>
      </c>
      <c r="O14" s="12" t="n">
        <f aca="false">J14*N14</f>
        <v>3</v>
      </c>
      <c r="P14" s="12" t="str">
        <f aca="false">IF(O14&gt;=6,"P1",IF(O14&gt;=3,"P2","P3"))</f>
        <v>P2</v>
      </c>
      <c r="Q14" s="9" t="s">
        <v>144</v>
      </c>
    </row>
    <row r="15" customFormat="false" ht="15" hidden="false" customHeight="false" outlineLevel="0" collapsed="false">
      <c r="A15" s="8" t="s">
        <v>145</v>
      </c>
      <c r="B15" s="8" t="s">
        <v>90</v>
      </c>
      <c r="C15" s="9" t="s">
        <v>137</v>
      </c>
      <c r="D15" s="8" t="s">
        <v>62</v>
      </c>
      <c r="E15" s="9" t="s">
        <v>146</v>
      </c>
      <c r="F15" s="9" t="s">
        <v>147</v>
      </c>
      <c r="G15" s="10" t="n">
        <v>1</v>
      </c>
      <c r="H15" s="10" t="n">
        <v>3</v>
      </c>
      <c r="I15" s="10" t="n">
        <v>2</v>
      </c>
      <c r="J15" s="11" t="n">
        <f aca="false">MIN(G15,MAX(H15,I15))</f>
        <v>1</v>
      </c>
      <c r="K15" s="10" t="n">
        <v>2</v>
      </c>
      <c r="L15" s="10" t="n">
        <v>1</v>
      </c>
      <c r="M15" s="10" t="n">
        <v>3</v>
      </c>
      <c r="N15" s="11" t="n">
        <f aca="false">MAX(K15,L15,M15)</f>
        <v>3</v>
      </c>
      <c r="O15" s="12" t="n">
        <f aca="false">J15*N15</f>
        <v>3</v>
      </c>
      <c r="P15" s="12" t="str">
        <f aca="false">IF(O15&gt;=6,"P1",IF(O15&gt;=3,"P2","P3"))</f>
        <v>P2</v>
      </c>
      <c r="Q15" s="9" t="s">
        <v>148</v>
      </c>
    </row>
    <row r="16" customFormat="false" ht="15" hidden="false" customHeight="false" outlineLevel="0" collapsed="false">
      <c r="A16" s="8" t="s">
        <v>149</v>
      </c>
      <c r="B16" s="8" t="s">
        <v>90</v>
      </c>
      <c r="C16" s="9" t="s">
        <v>137</v>
      </c>
      <c r="D16" s="8" t="s">
        <v>59</v>
      </c>
      <c r="E16" s="9" t="s">
        <v>150</v>
      </c>
      <c r="F16" s="9" t="s">
        <v>151</v>
      </c>
      <c r="G16" s="10" t="n">
        <v>1</v>
      </c>
      <c r="H16" s="10" t="n">
        <v>2</v>
      </c>
      <c r="I16" s="10" t="n">
        <v>2</v>
      </c>
      <c r="J16" s="11" t="n">
        <f aca="false">MIN(G16,MAX(H16,I16))</f>
        <v>1</v>
      </c>
      <c r="K16" s="10" t="n">
        <v>2</v>
      </c>
      <c r="L16" s="10" t="n">
        <v>1</v>
      </c>
      <c r="M16" s="10" t="n">
        <v>1</v>
      </c>
      <c r="N16" s="11" t="n">
        <f aca="false">MAX(K16,L16,M16)</f>
        <v>2</v>
      </c>
      <c r="O16" s="12" t="n">
        <f aca="false">J16*N16</f>
        <v>2</v>
      </c>
      <c r="P16" s="12" t="str">
        <f aca="false">IF(O16&gt;=6,"P1",IF(O16&gt;=3,"P2","P3"))</f>
        <v>P3</v>
      </c>
      <c r="Q16" s="9" t="s">
        <v>152</v>
      </c>
    </row>
    <row r="17" customFormat="false" ht="23.85" hidden="false" customHeight="false" outlineLevel="0" collapsed="false">
      <c r="A17" s="8" t="s">
        <v>153</v>
      </c>
      <c r="B17" s="8" t="s">
        <v>90</v>
      </c>
      <c r="C17" s="9" t="s">
        <v>154</v>
      </c>
      <c r="D17" s="8" t="s">
        <v>65</v>
      </c>
      <c r="E17" s="9" t="s">
        <v>155</v>
      </c>
      <c r="F17" s="9" t="s">
        <v>156</v>
      </c>
      <c r="G17" s="10" t="n">
        <v>3</v>
      </c>
      <c r="H17" s="10" t="n">
        <v>2</v>
      </c>
      <c r="I17" s="10" t="n">
        <v>2</v>
      </c>
      <c r="J17" s="11" t="n">
        <f aca="false">MIN(G17,MAX(H17,I17))</f>
        <v>2</v>
      </c>
      <c r="K17" s="10" t="n">
        <v>3</v>
      </c>
      <c r="L17" s="10" t="n">
        <v>3</v>
      </c>
      <c r="M17" s="10" t="n">
        <v>2</v>
      </c>
      <c r="N17" s="11" t="n">
        <f aca="false">MAX(K17,L17,M17)</f>
        <v>3</v>
      </c>
      <c r="O17" s="12" t="n">
        <f aca="false">J17*N17</f>
        <v>6</v>
      </c>
      <c r="P17" s="12" t="str">
        <f aca="false">IF(O17&gt;=6,"P1",IF(O17&gt;=3,"P2","P3"))</f>
        <v>P1</v>
      </c>
      <c r="Q17" s="9" t="s">
        <v>157</v>
      </c>
    </row>
    <row r="18" customFormat="false" ht="23.85" hidden="false" customHeight="false" outlineLevel="0" collapsed="false">
      <c r="A18" s="8" t="s">
        <v>158</v>
      </c>
      <c r="B18" s="8" t="s">
        <v>90</v>
      </c>
      <c r="C18" s="9" t="s">
        <v>154</v>
      </c>
      <c r="D18" s="8" t="s">
        <v>53</v>
      </c>
      <c r="E18" s="9" t="s">
        <v>159</v>
      </c>
      <c r="F18" s="9" t="s">
        <v>160</v>
      </c>
      <c r="G18" s="10" t="n">
        <v>1</v>
      </c>
      <c r="H18" s="10" t="n">
        <v>3</v>
      </c>
      <c r="I18" s="10" t="n">
        <v>2</v>
      </c>
      <c r="J18" s="11" t="n">
        <f aca="false">MIN(G18,MAX(H18,I18))</f>
        <v>1</v>
      </c>
      <c r="K18" s="10" t="n">
        <v>3</v>
      </c>
      <c r="L18" s="10" t="n">
        <v>3</v>
      </c>
      <c r="M18" s="10" t="n">
        <v>2</v>
      </c>
      <c r="N18" s="11" t="n">
        <f aca="false">MAX(K18,L18,M18)</f>
        <v>3</v>
      </c>
      <c r="O18" s="12" t="n">
        <f aca="false">J18*N18</f>
        <v>3</v>
      </c>
      <c r="P18" s="12" t="str">
        <f aca="false">IF(O18&gt;=6,"P1",IF(O18&gt;=3,"P2","P3"))</f>
        <v>P2</v>
      </c>
      <c r="Q18" s="9" t="s">
        <v>161</v>
      </c>
    </row>
    <row r="19" customFormat="false" ht="23.85" hidden="false" customHeight="false" outlineLevel="0" collapsed="false">
      <c r="A19" s="8" t="s">
        <v>162</v>
      </c>
      <c r="B19" s="8" t="s">
        <v>90</v>
      </c>
      <c r="C19" s="9" t="s">
        <v>154</v>
      </c>
      <c r="D19" s="8" t="s">
        <v>62</v>
      </c>
      <c r="E19" s="9" t="s">
        <v>163</v>
      </c>
      <c r="F19" s="9" t="s">
        <v>164</v>
      </c>
      <c r="G19" s="10" t="n">
        <v>1</v>
      </c>
      <c r="H19" s="10" t="n">
        <v>2</v>
      </c>
      <c r="I19" s="10" t="n">
        <v>3</v>
      </c>
      <c r="J19" s="11" t="n">
        <f aca="false">MIN(G19,MAX(H19,I19))</f>
        <v>1</v>
      </c>
      <c r="K19" s="10" t="n">
        <v>3</v>
      </c>
      <c r="L19" s="10" t="n">
        <v>3</v>
      </c>
      <c r="M19" s="10" t="n">
        <v>1</v>
      </c>
      <c r="N19" s="11" t="n">
        <f aca="false">MAX(K19,L19,M19)</f>
        <v>3</v>
      </c>
      <c r="O19" s="12" t="n">
        <f aca="false">J19*N19</f>
        <v>3</v>
      </c>
      <c r="P19" s="12" t="str">
        <f aca="false">IF(O19&gt;=6,"P1",IF(O19&gt;=3,"P2","P3"))</f>
        <v>P2</v>
      </c>
      <c r="Q19" s="9" t="s">
        <v>165</v>
      </c>
    </row>
    <row r="20" customFormat="false" ht="23.85" hidden="false" customHeight="false" outlineLevel="0" collapsed="false">
      <c r="A20" s="8" t="s">
        <v>166</v>
      </c>
      <c r="B20" s="8" t="s">
        <v>90</v>
      </c>
      <c r="C20" s="9" t="s">
        <v>167</v>
      </c>
      <c r="D20" s="8" t="s">
        <v>53</v>
      </c>
      <c r="E20" s="9" t="s">
        <v>168</v>
      </c>
      <c r="F20" s="9" t="s">
        <v>169</v>
      </c>
      <c r="G20" s="10" t="n">
        <v>3</v>
      </c>
      <c r="H20" s="10" t="n">
        <v>3</v>
      </c>
      <c r="I20" s="10" t="n">
        <v>3</v>
      </c>
      <c r="J20" s="11" t="n">
        <f aca="false">MIN(G20,MAX(H20,I20))</f>
        <v>3</v>
      </c>
      <c r="K20" s="10" t="n">
        <v>2</v>
      </c>
      <c r="L20" s="10" t="n">
        <v>2</v>
      </c>
      <c r="M20" s="10" t="n">
        <v>3</v>
      </c>
      <c r="N20" s="11" t="n">
        <f aca="false">MAX(K20,L20,M20)</f>
        <v>3</v>
      </c>
      <c r="O20" s="12" t="n">
        <f aca="false">J20*N20</f>
        <v>9</v>
      </c>
      <c r="P20" s="12" t="str">
        <f aca="false">IF(O20&gt;=6,"P1",IF(O20&gt;=3,"P2","P3"))</f>
        <v>P1</v>
      </c>
      <c r="Q20" s="9" t="s">
        <v>170</v>
      </c>
    </row>
    <row r="21" customFormat="false" ht="23.85" hidden="false" customHeight="false" outlineLevel="0" collapsed="false">
      <c r="A21" s="8" t="s">
        <v>171</v>
      </c>
      <c r="B21" s="8" t="s">
        <v>90</v>
      </c>
      <c r="C21" s="9" t="s">
        <v>167</v>
      </c>
      <c r="D21" s="8" t="s">
        <v>53</v>
      </c>
      <c r="E21" s="9" t="s">
        <v>172</v>
      </c>
      <c r="F21" s="9" t="s">
        <v>173</v>
      </c>
      <c r="G21" s="10" t="n">
        <v>3</v>
      </c>
      <c r="H21" s="10" t="n">
        <v>2</v>
      </c>
      <c r="I21" s="10" t="n">
        <v>2</v>
      </c>
      <c r="J21" s="11" t="n">
        <f aca="false">MIN(G21,MAX(H21,I21))</f>
        <v>2</v>
      </c>
      <c r="K21" s="10" t="n">
        <v>2</v>
      </c>
      <c r="L21" s="10" t="n">
        <v>2</v>
      </c>
      <c r="M21" s="10" t="n">
        <v>2</v>
      </c>
      <c r="N21" s="11" t="n">
        <f aca="false">MAX(K21,L21,M21)</f>
        <v>2</v>
      </c>
      <c r="O21" s="12" t="n">
        <f aca="false">J21*N21</f>
        <v>4</v>
      </c>
      <c r="P21" s="12" t="str">
        <f aca="false">IF(O21&gt;=6,"P1",IF(O21&gt;=3,"P2","P3"))</f>
        <v>P2</v>
      </c>
      <c r="Q21" s="9" t="s">
        <v>174</v>
      </c>
    </row>
    <row r="22" customFormat="false" ht="23.85" hidden="false" customHeight="false" outlineLevel="0" collapsed="false">
      <c r="A22" s="8" t="s">
        <v>175</v>
      </c>
      <c r="B22" s="8" t="s">
        <v>90</v>
      </c>
      <c r="C22" s="9" t="s">
        <v>167</v>
      </c>
      <c r="D22" s="8" t="s">
        <v>53</v>
      </c>
      <c r="E22" s="9" t="s">
        <v>176</v>
      </c>
      <c r="F22" s="9" t="s">
        <v>177</v>
      </c>
      <c r="G22" s="10" t="n">
        <v>3</v>
      </c>
      <c r="H22" s="10" t="n">
        <v>3</v>
      </c>
      <c r="I22" s="10" t="n">
        <v>2</v>
      </c>
      <c r="J22" s="11" t="n">
        <f aca="false">MIN(G22,MAX(H22,I22))</f>
        <v>3</v>
      </c>
      <c r="K22" s="10" t="n">
        <v>2</v>
      </c>
      <c r="L22" s="10" t="n">
        <v>1</v>
      </c>
      <c r="M22" s="10" t="n">
        <v>3</v>
      </c>
      <c r="N22" s="11" t="n">
        <f aca="false">MAX(K22,L22,M22)</f>
        <v>3</v>
      </c>
      <c r="O22" s="12" t="n">
        <f aca="false">J22*N22</f>
        <v>9</v>
      </c>
      <c r="P22" s="12" t="str">
        <f aca="false">IF(O22&gt;=6,"P1",IF(O22&gt;=3,"P2","P3"))</f>
        <v>P1</v>
      </c>
      <c r="Q22" s="9" t="s">
        <v>178</v>
      </c>
    </row>
    <row r="23" customFormat="false" ht="23.85" hidden="false" customHeight="false" outlineLevel="0" collapsed="false">
      <c r="A23" s="8" t="s">
        <v>179</v>
      </c>
      <c r="B23" s="8" t="s">
        <v>90</v>
      </c>
      <c r="C23" s="9" t="s">
        <v>167</v>
      </c>
      <c r="D23" s="8" t="s">
        <v>53</v>
      </c>
      <c r="E23" s="9" t="s">
        <v>180</v>
      </c>
      <c r="F23" s="9" t="s">
        <v>181</v>
      </c>
      <c r="G23" s="10" t="n">
        <v>3</v>
      </c>
      <c r="H23" s="10" t="n">
        <v>3</v>
      </c>
      <c r="I23" s="10" t="n">
        <v>2</v>
      </c>
      <c r="J23" s="11" t="n">
        <f aca="false">MIN(G23,MAX(H23,I23))</f>
        <v>3</v>
      </c>
      <c r="K23" s="10" t="n">
        <v>2</v>
      </c>
      <c r="L23" s="10" t="n">
        <v>1</v>
      </c>
      <c r="M23" s="10" t="n">
        <v>3</v>
      </c>
      <c r="N23" s="11" t="n">
        <f aca="false">MAX(K23,L23,M23)</f>
        <v>3</v>
      </c>
      <c r="O23" s="12" t="n">
        <f aca="false">J23*N23</f>
        <v>9</v>
      </c>
      <c r="P23" s="12" t="str">
        <f aca="false">IF(O23&gt;=6,"P1",IF(O23&gt;=3,"P2","P3"))</f>
        <v>P1</v>
      </c>
      <c r="Q23" s="9" t="s">
        <v>182</v>
      </c>
    </row>
    <row r="24" customFormat="false" ht="23.85" hidden="false" customHeight="false" outlineLevel="0" collapsed="false">
      <c r="A24" s="8" t="s">
        <v>183</v>
      </c>
      <c r="B24" s="8" t="s">
        <v>90</v>
      </c>
      <c r="C24" s="9" t="s">
        <v>167</v>
      </c>
      <c r="D24" s="8" t="s">
        <v>56</v>
      </c>
      <c r="E24" s="9" t="s">
        <v>184</v>
      </c>
      <c r="F24" s="9" t="s">
        <v>185</v>
      </c>
      <c r="G24" s="10" t="n">
        <v>3</v>
      </c>
      <c r="H24" s="10" t="n">
        <v>2</v>
      </c>
      <c r="I24" s="10" t="n">
        <v>1</v>
      </c>
      <c r="J24" s="11" t="n">
        <f aca="false">MIN(G24,MAX(H24,I24))</f>
        <v>2</v>
      </c>
      <c r="K24" s="10" t="n">
        <v>1</v>
      </c>
      <c r="L24" s="10" t="n">
        <v>1</v>
      </c>
      <c r="M24" s="10" t="n">
        <v>1</v>
      </c>
      <c r="N24" s="11" t="n">
        <f aca="false">MAX(K24,L24,M24)</f>
        <v>1</v>
      </c>
      <c r="O24" s="12" t="n">
        <f aca="false">J24*N24</f>
        <v>2</v>
      </c>
      <c r="P24" s="12" t="str">
        <f aca="false">IF(O24&gt;=6,"P1",IF(O24&gt;=3,"P2","P3"))</f>
        <v>P3</v>
      </c>
      <c r="Q24" s="9" t="s">
        <v>186</v>
      </c>
    </row>
    <row r="25" customFormat="false" ht="15" hidden="false" customHeight="false" outlineLevel="0" collapsed="false">
      <c r="A25" s="8" t="s">
        <v>187</v>
      </c>
      <c r="B25" s="8" t="s">
        <v>90</v>
      </c>
      <c r="C25" s="9" t="s">
        <v>167</v>
      </c>
      <c r="D25" s="8" t="s">
        <v>56</v>
      </c>
      <c r="E25" s="9" t="s">
        <v>188</v>
      </c>
      <c r="F25" s="9" t="s">
        <v>189</v>
      </c>
      <c r="G25" s="10" t="n">
        <v>3</v>
      </c>
      <c r="H25" s="10" t="n">
        <v>2</v>
      </c>
      <c r="I25" s="10" t="n">
        <v>1</v>
      </c>
      <c r="J25" s="11" t="n">
        <f aca="false">MIN(G25,MAX(H25,I25))</f>
        <v>2</v>
      </c>
      <c r="K25" s="10" t="n">
        <v>1</v>
      </c>
      <c r="L25" s="10" t="n">
        <v>1</v>
      </c>
      <c r="M25" s="10" t="n">
        <v>1</v>
      </c>
      <c r="N25" s="11" t="n">
        <f aca="false">MAX(K25,L25,M25)</f>
        <v>1</v>
      </c>
      <c r="O25" s="12" t="n">
        <f aca="false">J25*N25</f>
        <v>2</v>
      </c>
      <c r="P25" s="12" t="str">
        <f aca="false">IF(O25&gt;=6,"P1",IF(O25&gt;=3,"P2","P3"))</f>
        <v>P3</v>
      </c>
      <c r="Q25" s="9" t="s">
        <v>190</v>
      </c>
    </row>
    <row r="26" customFormat="false" ht="23.85" hidden="false" customHeight="false" outlineLevel="0" collapsed="false">
      <c r="A26" s="8" t="s">
        <v>191</v>
      </c>
      <c r="B26" s="8" t="s">
        <v>90</v>
      </c>
      <c r="C26" s="9" t="s">
        <v>167</v>
      </c>
      <c r="D26" s="8" t="s">
        <v>53</v>
      </c>
      <c r="E26" s="9" t="s">
        <v>192</v>
      </c>
      <c r="F26" s="9" t="s">
        <v>193</v>
      </c>
      <c r="G26" s="10" t="n">
        <v>3</v>
      </c>
      <c r="H26" s="10" t="n">
        <v>2</v>
      </c>
      <c r="I26" s="10" t="n">
        <v>2</v>
      </c>
      <c r="J26" s="11" t="n">
        <f aca="false">MIN(G26,MAX(H26,I26))</f>
        <v>2</v>
      </c>
      <c r="K26" s="10" t="n">
        <v>1</v>
      </c>
      <c r="L26" s="10" t="n">
        <v>1</v>
      </c>
      <c r="M26" s="10" t="n">
        <v>2</v>
      </c>
      <c r="N26" s="11" t="n">
        <f aca="false">MAX(K26,L26,M26)</f>
        <v>2</v>
      </c>
      <c r="O26" s="12" t="n">
        <f aca="false">J26*N26</f>
        <v>4</v>
      </c>
      <c r="P26" s="12" t="str">
        <f aca="false">IF(O26&gt;=6,"P1",IF(O26&gt;=3,"P2","P3"))</f>
        <v>P2</v>
      </c>
      <c r="Q26" s="9" t="s">
        <v>194</v>
      </c>
    </row>
    <row r="27" customFormat="false" ht="23.85" hidden="false" customHeight="false" outlineLevel="0" collapsed="false">
      <c r="A27" s="8" t="s">
        <v>195</v>
      </c>
      <c r="B27" s="8" t="s">
        <v>90</v>
      </c>
      <c r="C27" s="9" t="s">
        <v>167</v>
      </c>
      <c r="D27" s="8" t="s">
        <v>59</v>
      </c>
      <c r="E27" s="9" t="s">
        <v>196</v>
      </c>
      <c r="F27" s="9" t="s">
        <v>197</v>
      </c>
      <c r="G27" s="10" t="n">
        <v>3</v>
      </c>
      <c r="H27" s="10" t="n">
        <v>1</v>
      </c>
      <c r="I27" s="10" t="n">
        <v>2</v>
      </c>
      <c r="J27" s="11" t="n">
        <f aca="false">MIN(G27,MAX(H27,I27))</f>
        <v>2</v>
      </c>
      <c r="K27" s="10" t="n">
        <v>2</v>
      </c>
      <c r="L27" s="10" t="n">
        <v>1</v>
      </c>
      <c r="M27" s="10" t="n">
        <v>2</v>
      </c>
      <c r="N27" s="11" t="n">
        <f aca="false">MAX(K27,L27,M27)</f>
        <v>2</v>
      </c>
      <c r="O27" s="12" t="n">
        <f aca="false">J27*N27</f>
        <v>4</v>
      </c>
      <c r="P27" s="12" t="str">
        <f aca="false">IF(O27&gt;=6,"P1",IF(O27&gt;=3,"P2","P3"))</f>
        <v>P2</v>
      </c>
      <c r="Q27" s="9" t="s">
        <v>198</v>
      </c>
    </row>
    <row r="28" customFormat="false" ht="23.85" hidden="false" customHeight="false" outlineLevel="0" collapsed="false">
      <c r="A28" s="8" t="s">
        <v>199</v>
      </c>
      <c r="B28" s="8" t="s">
        <v>90</v>
      </c>
      <c r="C28" s="9" t="s">
        <v>200</v>
      </c>
      <c r="D28" s="8" t="s">
        <v>53</v>
      </c>
      <c r="E28" s="9" t="s">
        <v>201</v>
      </c>
      <c r="F28" s="9" t="s">
        <v>202</v>
      </c>
      <c r="G28" s="10" t="n">
        <v>3</v>
      </c>
      <c r="H28" s="10" t="n">
        <v>3</v>
      </c>
      <c r="I28" s="10" t="n">
        <v>2</v>
      </c>
      <c r="J28" s="11" t="n">
        <f aca="false">MIN(G28,MAX(H28,I28))</f>
        <v>3</v>
      </c>
      <c r="K28" s="10" t="n">
        <v>3</v>
      </c>
      <c r="L28" s="10" t="n">
        <v>1</v>
      </c>
      <c r="M28" s="10" t="n">
        <v>3</v>
      </c>
      <c r="N28" s="11" t="n">
        <f aca="false">MAX(K28,L28,M28)</f>
        <v>3</v>
      </c>
      <c r="O28" s="12" t="n">
        <f aca="false">J28*N28</f>
        <v>9</v>
      </c>
      <c r="P28" s="12" t="str">
        <f aca="false">IF(O28&gt;=6,"P1",IF(O28&gt;=3,"P2","P3"))</f>
        <v>P1</v>
      </c>
      <c r="Q28" s="9" t="s">
        <v>203</v>
      </c>
    </row>
    <row r="29" customFormat="false" ht="23.85" hidden="false" customHeight="false" outlineLevel="0" collapsed="false">
      <c r="A29" s="8" t="s">
        <v>204</v>
      </c>
      <c r="B29" s="8" t="s">
        <v>90</v>
      </c>
      <c r="C29" s="9" t="s">
        <v>200</v>
      </c>
      <c r="D29" s="8" t="s">
        <v>56</v>
      </c>
      <c r="E29" s="9" t="s">
        <v>205</v>
      </c>
      <c r="F29" s="9" t="s">
        <v>206</v>
      </c>
      <c r="G29" s="10" t="n">
        <v>3</v>
      </c>
      <c r="H29" s="10" t="n">
        <v>2</v>
      </c>
      <c r="I29" s="10" t="n">
        <v>2</v>
      </c>
      <c r="J29" s="11" t="n">
        <f aca="false">MIN(G29,MAX(H29,I29))</f>
        <v>2</v>
      </c>
      <c r="K29" s="10" t="n">
        <v>2</v>
      </c>
      <c r="L29" s="10" t="n">
        <v>1</v>
      </c>
      <c r="M29" s="10" t="n">
        <v>2</v>
      </c>
      <c r="N29" s="11" t="n">
        <f aca="false">MAX(K29,L29,M29)</f>
        <v>2</v>
      </c>
      <c r="O29" s="12" t="n">
        <f aca="false">J29*N29</f>
        <v>4</v>
      </c>
      <c r="P29" s="12" t="str">
        <f aca="false">IF(O29&gt;=6,"P1",IF(O29&gt;=3,"P2","P3"))</f>
        <v>P2</v>
      </c>
      <c r="Q29" s="9" t="s">
        <v>207</v>
      </c>
    </row>
    <row r="30" customFormat="false" ht="23.85" hidden="false" customHeight="false" outlineLevel="0" collapsed="false">
      <c r="A30" s="8" t="s">
        <v>208</v>
      </c>
      <c r="B30" s="8" t="s">
        <v>90</v>
      </c>
      <c r="C30" s="9" t="s">
        <v>200</v>
      </c>
      <c r="D30" s="8" t="s">
        <v>62</v>
      </c>
      <c r="E30" s="9" t="s">
        <v>209</v>
      </c>
      <c r="F30" s="9" t="s">
        <v>210</v>
      </c>
      <c r="G30" s="10" t="n">
        <v>3</v>
      </c>
      <c r="H30" s="10" t="n">
        <v>3</v>
      </c>
      <c r="I30" s="10" t="n">
        <v>2</v>
      </c>
      <c r="J30" s="11" t="n">
        <f aca="false">MIN(G30,MAX(H30,I30))</f>
        <v>3</v>
      </c>
      <c r="K30" s="10" t="n">
        <v>2</v>
      </c>
      <c r="L30" s="10" t="n">
        <v>1</v>
      </c>
      <c r="M30" s="10" t="n">
        <v>2</v>
      </c>
      <c r="N30" s="11" t="n">
        <f aca="false">MAX(K30,L30,M30)</f>
        <v>2</v>
      </c>
      <c r="O30" s="12" t="n">
        <f aca="false">J30*N30</f>
        <v>6</v>
      </c>
      <c r="P30" s="12" t="str">
        <f aca="false">IF(O30&gt;=6,"P1",IF(O30&gt;=3,"P2","P3"))</f>
        <v>P1</v>
      </c>
      <c r="Q30" s="9" t="s">
        <v>211</v>
      </c>
    </row>
    <row r="31" customFormat="false" ht="35.05" hidden="false" customHeight="false" outlineLevel="0" collapsed="false">
      <c r="A31" s="8" t="s">
        <v>212</v>
      </c>
      <c r="B31" s="8" t="s">
        <v>90</v>
      </c>
      <c r="C31" s="9" t="s">
        <v>200</v>
      </c>
      <c r="D31" s="8" t="s">
        <v>62</v>
      </c>
      <c r="E31" s="9" t="s">
        <v>213</v>
      </c>
      <c r="F31" s="9" t="s">
        <v>214</v>
      </c>
      <c r="G31" s="10" t="n">
        <v>3</v>
      </c>
      <c r="H31" s="10" t="n">
        <v>2</v>
      </c>
      <c r="I31" s="10" t="n">
        <v>3</v>
      </c>
      <c r="J31" s="11" t="n">
        <f aca="false">MIN(G31,MAX(H31,I31))</f>
        <v>3</v>
      </c>
      <c r="K31" s="10" t="n">
        <v>2</v>
      </c>
      <c r="L31" s="10" t="n">
        <v>1</v>
      </c>
      <c r="M31" s="10" t="n">
        <v>2</v>
      </c>
      <c r="N31" s="11" t="n">
        <f aca="false">MAX(K31,L31,M31)</f>
        <v>2</v>
      </c>
      <c r="O31" s="12" t="n">
        <f aca="false">J31*N31</f>
        <v>6</v>
      </c>
      <c r="P31" s="12" t="str">
        <f aca="false">IF(O31&gt;=6,"P1",IF(O31&gt;=3,"P2","P3"))</f>
        <v>P1</v>
      </c>
      <c r="Q31" s="9" t="s">
        <v>215</v>
      </c>
    </row>
    <row r="32" customFormat="false" ht="15" hidden="false" customHeight="false" outlineLevel="0" collapsed="false">
      <c r="A32" s="8" t="s">
        <v>216</v>
      </c>
      <c r="B32" s="8" t="s">
        <v>90</v>
      </c>
      <c r="C32" s="9" t="s">
        <v>200</v>
      </c>
      <c r="D32" s="8" t="s">
        <v>59</v>
      </c>
      <c r="E32" s="9" t="s">
        <v>217</v>
      </c>
      <c r="F32" s="9" t="s">
        <v>218</v>
      </c>
      <c r="G32" s="10" t="n">
        <v>3</v>
      </c>
      <c r="H32" s="10" t="n">
        <v>1</v>
      </c>
      <c r="I32" s="10" t="n">
        <v>2</v>
      </c>
      <c r="J32" s="11" t="n">
        <f aca="false">MIN(G32,MAX(H32,I32))</f>
        <v>2</v>
      </c>
      <c r="K32" s="10" t="n">
        <v>2</v>
      </c>
      <c r="L32" s="10" t="n">
        <v>1</v>
      </c>
      <c r="M32" s="10" t="n">
        <v>2</v>
      </c>
      <c r="N32" s="11" t="n">
        <f aca="false">MAX(K32,L32,M32)</f>
        <v>2</v>
      </c>
      <c r="O32" s="12" t="n">
        <f aca="false">J32*N32</f>
        <v>4</v>
      </c>
      <c r="P32" s="12" t="str">
        <f aca="false">IF(O32&gt;=6,"P1",IF(O32&gt;=3,"P2","P3"))</f>
        <v>P2</v>
      </c>
      <c r="Q32" s="9" t="s">
        <v>219</v>
      </c>
    </row>
    <row r="33" customFormat="false" ht="23.85" hidden="false" customHeight="false" outlineLevel="0" collapsed="false">
      <c r="A33" s="8" t="s">
        <v>220</v>
      </c>
      <c r="B33" s="8" t="s">
        <v>90</v>
      </c>
      <c r="C33" s="9" t="s">
        <v>221</v>
      </c>
      <c r="D33" s="8" t="s">
        <v>65</v>
      </c>
      <c r="E33" s="9" t="s">
        <v>222</v>
      </c>
      <c r="F33" s="9" t="s">
        <v>223</v>
      </c>
      <c r="G33" s="10" t="n">
        <v>3</v>
      </c>
      <c r="H33" s="10" t="n">
        <v>3</v>
      </c>
      <c r="I33" s="10" t="n">
        <v>3</v>
      </c>
      <c r="J33" s="11" t="n">
        <f aca="false">MIN(G33,MAX(H33,I33))</f>
        <v>3</v>
      </c>
      <c r="K33" s="10" t="n">
        <v>1</v>
      </c>
      <c r="L33" s="10" t="n">
        <v>1</v>
      </c>
      <c r="M33" s="10" t="n">
        <v>1</v>
      </c>
      <c r="N33" s="11" t="n">
        <f aca="false">MAX(K33,L33,M33)</f>
        <v>1</v>
      </c>
      <c r="O33" s="12" t="n">
        <f aca="false">J33*N33</f>
        <v>3</v>
      </c>
      <c r="P33" s="12" t="str">
        <f aca="false">IF(O33&gt;=6,"P1",IF(O33&gt;=3,"P2","P3"))</f>
        <v>P2</v>
      </c>
      <c r="Q33" s="9" t="s">
        <v>224</v>
      </c>
    </row>
    <row r="34" customFormat="false" ht="23.85" hidden="false" customHeight="false" outlineLevel="0" collapsed="false">
      <c r="A34" s="8" t="s">
        <v>225</v>
      </c>
      <c r="B34" s="8" t="s">
        <v>90</v>
      </c>
      <c r="C34" s="9" t="s">
        <v>221</v>
      </c>
      <c r="D34" s="8" t="s">
        <v>53</v>
      </c>
      <c r="E34" s="9" t="s">
        <v>226</v>
      </c>
      <c r="F34" s="9" t="s">
        <v>227</v>
      </c>
      <c r="G34" s="10" t="n">
        <v>3</v>
      </c>
      <c r="H34" s="10" t="n">
        <v>3</v>
      </c>
      <c r="I34" s="10" t="n">
        <v>2</v>
      </c>
      <c r="J34" s="11" t="n">
        <f aca="false">MIN(G34,MAX(H34,I34))</f>
        <v>3</v>
      </c>
      <c r="K34" s="10" t="n">
        <v>1</v>
      </c>
      <c r="L34" s="10" t="n">
        <v>1</v>
      </c>
      <c r="M34" s="10" t="n">
        <v>2</v>
      </c>
      <c r="N34" s="11" t="n">
        <f aca="false">MAX(K34,L34,M34)</f>
        <v>2</v>
      </c>
      <c r="O34" s="12" t="n">
        <f aca="false">J34*N34</f>
        <v>6</v>
      </c>
      <c r="P34" s="12" t="str">
        <f aca="false">IF(O34&gt;=6,"P1",IF(O34&gt;=3,"P2","P3"))</f>
        <v>P1</v>
      </c>
      <c r="Q34" s="9" t="s">
        <v>228</v>
      </c>
    </row>
    <row r="35" customFormat="false" ht="23.85" hidden="false" customHeight="false" outlineLevel="0" collapsed="false">
      <c r="A35" s="8" t="s">
        <v>229</v>
      </c>
      <c r="B35" s="8" t="s">
        <v>90</v>
      </c>
      <c r="C35" s="9" t="s">
        <v>221</v>
      </c>
      <c r="D35" s="8" t="s">
        <v>59</v>
      </c>
      <c r="E35" s="9" t="s">
        <v>230</v>
      </c>
      <c r="F35" s="9" t="s">
        <v>231</v>
      </c>
      <c r="G35" s="10" t="n">
        <v>3</v>
      </c>
      <c r="H35" s="10" t="n">
        <v>1</v>
      </c>
      <c r="I35" s="10" t="n">
        <v>2</v>
      </c>
      <c r="J35" s="11" t="n">
        <f aca="false">MIN(G35,MAX(H35,I35))</f>
        <v>2</v>
      </c>
      <c r="K35" s="10" t="n">
        <v>2</v>
      </c>
      <c r="L35" s="10" t="n">
        <v>1</v>
      </c>
      <c r="M35" s="10" t="n">
        <v>3</v>
      </c>
      <c r="N35" s="11" t="n">
        <f aca="false">MAX(K35,L35,M35)</f>
        <v>3</v>
      </c>
      <c r="O35" s="12" t="n">
        <f aca="false">J35*N35</f>
        <v>6</v>
      </c>
      <c r="P35" s="12" t="str">
        <f aca="false">IF(O35&gt;=6,"P1",IF(O35&gt;=3,"P2","P3"))</f>
        <v>P1</v>
      </c>
      <c r="Q35" s="9" t="s">
        <v>232</v>
      </c>
    </row>
    <row r="36" customFormat="false" ht="35.05" hidden="false" customHeight="false" outlineLevel="0" collapsed="false">
      <c r="A36" s="8" t="s">
        <v>233</v>
      </c>
      <c r="B36" s="8" t="s">
        <v>90</v>
      </c>
      <c r="C36" s="9" t="s">
        <v>234</v>
      </c>
      <c r="D36" s="8" t="s">
        <v>65</v>
      </c>
      <c r="E36" s="9" t="s">
        <v>235</v>
      </c>
      <c r="F36" s="9" t="s">
        <v>236</v>
      </c>
      <c r="G36" s="10" t="n">
        <v>3</v>
      </c>
      <c r="H36" s="10" t="n">
        <v>3</v>
      </c>
      <c r="I36" s="10" t="n">
        <v>2</v>
      </c>
      <c r="J36" s="11" t="n">
        <f aca="false">MIN(G36,MAX(H36,I36))</f>
        <v>3</v>
      </c>
      <c r="K36" s="10" t="n">
        <v>3</v>
      </c>
      <c r="L36" s="10" t="n">
        <v>2</v>
      </c>
      <c r="M36" s="10" t="n">
        <v>3</v>
      </c>
      <c r="N36" s="11" t="n">
        <f aca="false">MAX(K36,L36,M36)</f>
        <v>3</v>
      </c>
      <c r="O36" s="12" t="n">
        <f aca="false">J36*N36</f>
        <v>9</v>
      </c>
      <c r="P36" s="12" t="str">
        <f aca="false">IF(O36&gt;=6,"P1",IF(O36&gt;=3,"P2","P3"))</f>
        <v>P1</v>
      </c>
      <c r="Q36" s="9" t="s">
        <v>237</v>
      </c>
    </row>
    <row r="37" customFormat="false" ht="23.85" hidden="false" customHeight="false" outlineLevel="0" collapsed="false">
      <c r="A37" s="8" t="s">
        <v>238</v>
      </c>
      <c r="B37" s="8" t="s">
        <v>90</v>
      </c>
      <c r="C37" s="9" t="s">
        <v>234</v>
      </c>
      <c r="D37" s="8" t="s">
        <v>65</v>
      </c>
      <c r="E37" s="9" t="s">
        <v>239</v>
      </c>
      <c r="F37" s="9" t="s">
        <v>240</v>
      </c>
      <c r="G37" s="10" t="n">
        <v>3</v>
      </c>
      <c r="H37" s="10" t="n">
        <v>2</v>
      </c>
      <c r="I37" s="10" t="n">
        <v>3</v>
      </c>
      <c r="J37" s="11" t="n">
        <f aca="false">MIN(G37,MAX(H37,I37))</f>
        <v>3</v>
      </c>
      <c r="K37" s="10" t="n">
        <v>2</v>
      </c>
      <c r="L37" s="10" t="n">
        <v>2</v>
      </c>
      <c r="M37" s="10" t="n">
        <v>2</v>
      </c>
      <c r="N37" s="11" t="n">
        <f aca="false">MAX(K37,L37,M37)</f>
        <v>2</v>
      </c>
      <c r="O37" s="12" t="n">
        <f aca="false">J37*N37</f>
        <v>6</v>
      </c>
      <c r="P37" s="12" t="str">
        <f aca="false">IF(O37&gt;=6,"P1",IF(O37&gt;=3,"P2","P3"))</f>
        <v>P1</v>
      </c>
      <c r="Q37" s="9" t="s">
        <v>241</v>
      </c>
    </row>
    <row r="38" customFormat="false" ht="23.85" hidden="false" customHeight="false" outlineLevel="0" collapsed="false">
      <c r="A38" s="8" t="s">
        <v>242</v>
      </c>
      <c r="B38" s="8" t="s">
        <v>90</v>
      </c>
      <c r="C38" s="9" t="s">
        <v>234</v>
      </c>
      <c r="D38" s="8" t="s">
        <v>53</v>
      </c>
      <c r="E38" s="9" t="s">
        <v>243</v>
      </c>
      <c r="F38" s="9" t="s">
        <v>244</v>
      </c>
      <c r="G38" s="10" t="n">
        <v>3</v>
      </c>
      <c r="H38" s="10" t="n">
        <v>3</v>
      </c>
      <c r="I38" s="10" t="n">
        <v>2</v>
      </c>
      <c r="J38" s="11" t="n">
        <f aca="false">MIN(G38,MAX(H38,I38))</f>
        <v>3</v>
      </c>
      <c r="K38" s="10" t="n">
        <v>3</v>
      </c>
      <c r="L38" s="10" t="n">
        <v>2</v>
      </c>
      <c r="M38" s="10" t="n">
        <v>3</v>
      </c>
      <c r="N38" s="11" t="n">
        <f aca="false">MAX(K38,L38,M38)</f>
        <v>3</v>
      </c>
      <c r="O38" s="12" t="n">
        <f aca="false">J38*N38</f>
        <v>9</v>
      </c>
      <c r="P38" s="12" t="str">
        <f aca="false">IF(O38&gt;=6,"P1",IF(O38&gt;=3,"P2","P3"))</f>
        <v>P1</v>
      </c>
      <c r="Q38" s="9" t="s">
        <v>245</v>
      </c>
    </row>
    <row r="39" customFormat="false" ht="15" hidden="false" customHeight="false" outlineLevel="0" collapsed="false">
      <c r="A39" s="8" t="s">
        <v>246</v>
      </c>
      <c r="B39" s="8" t="s">
        <v>90</v>
      </c>
      <c r="C39" s="9" t="s">
        <v>234</v>
      </c>
      <c r="D39" s="8" t="s">
        <v>59</v>
      </c>
      <c r="E39" s="9" t="s">
        <v>247</v>
      </c>
      <c r="F39" s="9" t="s">
        <v>248</v>
      </c>
      <c r="G39" s="10" t="n">
        <v>3</v>
      </c>
      <c r="H39" s="10" t="n">
        <v>2</v>
      </c>
      <c r="I39" s="10" t="n">
        <v>2</v>
      </c>
      <c r="J39" s="11" t="n">
        <f aca="false">MIN(G39,MAX(H39,I39))</f>
        <v>2</v>
      </c>
      <c r="K39" s="10" t="n">
        <v>2</v>
      </c>
      <c r="L39" s="10" t="n">
        <v>1</v>
      </c>
      <c r="M39" s="10" t="n">
        <v>1</v>
      </c>
      <c r="N39" s="11" t="n">
        <f aca="false">MAX(K39,L39,M39)</f>
        <v>2</v>
      </c>
      <c r="O39" s="12" t="n">
        <f aca="false">J39*N39</f>
        <v>4</v>
      </c>
      <c r="P39" s="12" t="str">
        <f aca="false">IF(O39&gt;=6,"P1",IF(O39&gt;=3,"P2","P3"))</f>
        <v>P2</v>
      </c>
      <c r="Q39" s="9" t="s">
        <v>249</v>
      </c>
    </row>
    <row r="40" customFormat="false" ht="23.85" hidden="false" customHeight="false" outlineLevel="0" collapsed="false">
      <c r="A40" s="8" t="s">
        <v>250</v>
      </c>
      <c r="B40" s="8" t="s">
        <v>90</v>
      </c>
      <c r="C40" s="9" t="s">
        <v>234</v>
      </c>
      <c r="D40" s="8" t="s">
        <v>59</v>
      </c>
      <c r="E40" s="9" t="s">
        <v>251</v>
      </c>
      <c r="F40" s="9" t="s">
        <v>248</v>
      </c>
      <c r="G40" s="10" t="n">
        <v>3</v>
      </c>
      <c r="H40" s="10" t="n">
        <v>1</v>
      </c>
      <c r="I40" s="10" t="n">
        <v>2</v>
      </c>
      <c r="J40" s="11" t="n">
        <f aca="false">MIN(G40,MAX(H40,I40))</f>
        <v>2</v>
      </c>
      <c r="K40" s="10" t="n">
        <v>2</v>
      </c>
      <c r="L40" s="10" t="n">
        <v>1</v>
      </c>
      <c r="M40" s="10" t="n">
        <v>1</v>
      </c>
      <c r="N40" s="11" t="n">
        <f aca="false">MAX(K40,L40,M40)</f>
        <v>2</v>
      </c>
      <c r="O40" s="12" t="n">
        <f aca="false">J40*N40</f>
        <v>4</v>
      </c>
      <c r="P40" s="12" t="str">
        <f aca="false">IF(O40&gt;=6,"P1",IF(O40&gt;=3,"P2","P3"))</f>
        <v>P2</v>
      </c>
      <c r="Q40" s="9" t="s">
        <v>252</v>
      </c>
    </row>
    <row r="41" customFormat="false" ht="15" hidden="false" customHeight="false" outlineLevel="0" collapsed="false">
      <c r="A41" s="8" t="s">
        <v>253</v>
      </c>
      <c r="B41" s="8" t="s">
        <v>90</v>
      </c>
      <c r="C41" s="9" t="s">
        <v>234</v>
      </c>
      <c r="D41" s="8" t="s">
        <v>59</v>
      </c>
      <c r="E41" s="9" t="s">
        <v>254</v>
      </c>
      <c r="F41" s="9" t="s">
        <v>248</v>
      </c>
      <c r="G41" s="10" t="n">
        <v>3</v>
      </c>
      <c r="H41" s="10" t="n">
        <v>1</v>
      </c>
      <c r="I41" s="10" t="n">
        <v>2</v>
      </c>
      <c r="J41" s="11" t="n">
        <f aca="false">MIN(G41,MAX(H41,I41))</f>
        <v>2</v>
      </c>
      <c r="K41" s="10" t="n">
        <v>2</v>
      </c>
      <c r="L41" s="10" t="n">
        <v>1</v>
      </c>
      <c r="M41" s="10" t="n">
        <v>1</v>
      </c>
      <c r="N41" s="11" t="n">
        <f aca="false">MAX(K41,L41,M41)</f>
        <v>2</v>
      </c>
      <c r="O41" s="12" t="n">
        <f aca="false">J41*N41</f>
        <v>4</v>
      </c>
      <c r="P41" s="12" t="str">
        <f aca="false">IF(O41&gt;=6,"P1",IF(O41&gt;=3,"P2","P3"))</f>
        <v>P2</v>
      </c>
      <c r="Q41" s="9" t="s">
        <v>255</v>
      </c>
    </row>
    <row r="42" customFormat="false" ht="23.85" hidden="false" customHeight="false" outlineLevel="0" collapsed="false">
      <c r="A42" s="8" t="s">
        <v>256</v>
      </c>
      <c r="B42" s="8" t="s">
        <v>90</v>
      </c>
      <c r="C42" s="9" t="s">
        <v>234</v>
      </c>
      <c r="D42" s="8" t="s">
        <v>59</v>
      </c>
      <c r="E42" s="9" t="s">
        <v>257</v>
      </c>
      <c r="F42" s="9" t="s">
        <v>258</v>
      </c>
      <c r="G42" s="10" t="n">
        <v>3</v>
      </c>
      <c r="H42" s="10" t="n">
        <v>1</v>
      </c>
      <c r="I42" s="10" t="n">
        <v>2</v>
      </c>
      <c r="J42" s="11" t="n">
        <f aca="false">MIN(G42,MAX(H42,I42))</f>
        <v>2</v>
      </c>
      <c r="K42" s="10" t="n">
        <v>2</v>
      </c>
      <c r="L42" s="10" t="n">
        <v>1</v>
      </c>
      <c r="M42" s="10" t="n">
        <v>2</v>
      </c>
      <c r="N42" s="11" t="n">
        <f aca="false">MAX(K42,L42,M42)</f>
        <v>2</v>
      </c>
      <c r="O42" s="12" t="n">
        <f aca="false">J42*N42</f>
        <v>4</v>
      </c>
      <c r="P42" s="12" t="str">
        <f aca="false">IF(O42&gt;=6,"P1",IF(O42&gt;=3,"P2","P3"))</f>
        <v>P2</v>
      </c>
      <c r="Q42" s="9" t="s">
        <v>259</v>
      </c>
    </row>
    <row r="43" customFormat="false" ht="23.85" hidden="false" customHeight="false" outlineLevel="0" collapsed="false">
      <c r="A43" s="8" t="s">
        <v>260</v>
      </c>
      <c r="B43" s="8" t="s">
        <v>90</v>
      </c>
      <c r="C43" s="9" t="s">
        <v>234</v>
      </c>
      <c r="D43" s="8" t="s">
        <v>56</v>
      </c>
      <c r="E43" s="9" t="s">
        <v>261</v>
      </c>
      <c r="F43" s="9" t="s">
        <v>262</v>
      </c>
      <c r="G43" s="10" t="n">
        <v>3</v>
      </c>
      <c r="H43" s="10" t="n">
        <v>2</v>
      </c>
      <c r="I43" s="10" t="n">
        <v>1</v>
      </c>
      <c r="J43" s="11" t="n">
        <f aca="false">MIN(G43,MAX(H43,I43))</f>
        <v>2</v>
      </c>
      <c r="K43" s="10" t="n">
        <v>1</v>
      </c>
      <c r="L43" s="10" t="n">
        <v>1</v>
      </c>
      <c r="M43" s="10" t="n">
        <v>1</v>
      </c>
      <c r="N43" s="11" t="n">
        <f aca="false">MAX(K43,L43,M43)</f>
        <v>1</v>
      </c>
      <c r="O43" s="12" t="n">
        <f aca="false">J43*N43</f>
        <v>2</v>
      </c>
      <c r="P43" s="12" t="str">
        <f aca="false">IF(O43&gt;=6,"P1",IF(O43&gt;=3,"P2","P3"))</f>
        <v>P3</v>
      </c>
      <c r="Q43" s="9" t="s">
        <v>263</v>
      </c>
    </row>
    <row r="44" customFormat="false" ht="15" hidden="false" customHeight="false" outlineLevel="0" collapsed="false">
      <c r="A44" s="8" t="s">
        <v>264</v>
      </c>
      <c r="B44" s="8" t="s">
        <v>90</v>
      </c>
      <c r="C44" s="9" t="s">
        <v>234</v>
      </c>
      <c r="D44" s="8" t="s">
        <v>56</v>
      </c>
      <c r="E44" s="9" t="s">
        <v>265</v>
      </c>
      <c r="F44" s="9" t="s">
        <v>266</v>
      </c>
      <c r="G44" s="10" t="n">
        <v>3</v>
      </c>
      <c r="H44" s="10" t="n">
        <v>2</v>
      </c>
      <c r="I44" s="10" t="n">
        <v>3</v>
      </c>
      <c r="J44" s="11" t="n">
        <f aca="false">MIN(G44,MAX(H44,I44))</f>
        <v>3</v>
      </c>
      <c r="K44" s="10" t="n">
        <v>2</v>
      </c>
      <c r="L44" s="10" t="n">
        <v>2</v>
      </c>
      <c r="M44" s="10" t="n">
        <v>2</v>
      </c>
      <c r="N44" s="11" t="n">
        <f aca="false">MAX(K44,L44,M44)</f>
        <v>2</v>
      </c>
      <c r="O44" s="12" t="n">
        <f aca="false">J44*N44</f>
        <v>6</v>
      </c>
      <c r="P44" s="12" t="str">
        <f aca="false">IF(O44&gt;=6,"P1",IF(O44&gt;=3,"P2","P3"))</f>
        <v>P1</v>
      </c>
      <c r="Q44" s="9" t="s">
        <v>267</v>
      </c>
    </row>
    <row r="45" customFormat="false" ht="23.85" hidden="false" customHeight="false" outlineLevel="0" collapsed="false">
      <c r="A45" s="8" t="s">
        <v>268</v>
      </c>
      <c r="B45" s="8" t="s">
        <v>90</v>
      </c>
      <c r="C45" s="9" t="s">
        <v>269</v>
      </c>
      <c r="D45" s="8" t="s">
        <v>53</v>
      </c>
      <c r="E45" s="9" t="s">
        <v>270</v>
      </c>
      <c r="F45" s="9" t="s">
        <v>271</v>
      </c>
      <c r="G45" s="10" t="n">
        <v>3</v>
      </c>
      <c r="H45" s="10" t="n">
        <v>3</v>
      </c>
      <c r="I45" s="10" t="n">
        <v>3</v>
      </c>
      <c r="J45" s="11" t="n">
        <f aca="false">MIN(G45,MAX(H45,I45))</f>
        <v>3</v>
      </c>
      <c r="K45" s="10" t="n">
        <v>2</v>
      </c>
      <c r="L45" s="10" t="n">
        <v>2</v>
      </c>
      <c r="M45" s="10" t="n">
        <v>3</v>
      </c>
      <c r="N45" s="11" t="n">
        <f aca="false">MAX(K45,L45,M45)</f>
        <v>3</v>
      </c>
      <c r="O45" s="12" t="n">
        <f aca="false">J45*N45</f>
        <v>9</v>
      </c>
      <c r="P45" s="12" t="str">
        <f aca="false">IF(O45&gt;=6,"P1",IF(O45&gt;=3,"P2","P3"))</f>
        <v>P1</v>
      </c>
      <c r="Q45" s="9" t="s">
        <v>272</v>
      </c>
    </row>
    <row r="46" customFormat="false" ht="23.85" hidden="false" customHeight="false" outlineLevel="0" collapsed="false">
      <c r="A46" s="8" t="s">
        <v>273</v>
      </c>
      <c r="B46" s="8" t="s">
        <v>90</v>
      </c>
      <c r="C46" s="9" t="s">
        <v>274</v>
      </c>
      <c r="D46" s="8" t="s">
        <v>53</v>
      </c>
      <c r="E46" s="9" t="s">
        <v>275</v>
      </c>
      <c r="F46" s="9" t="s">
        <v>276</v>
      </c>
      <c r="G46" s="10" t="n">
        <v>3</v>
      </c>
      <c r="H46" s="10" t="n">
        <v>3</v>
      </c>
      <c r="I46" s="10" t="n">
        <v>2</v>
      </c>
      <c r="J46" s="11" t="n">
        <f aca="false">MIN(G46,MAX(H46,I46))</f>
        <v>3</v>
      </c>
      <c r="K46" s="10" t="n">
        <v>1</v>
      </c>
      <c r="L46" s="10" t="n">
        <v>1</v>
      </c>
      <c r="M46" s="10" t="n">
        <v>1</v>
      </c>
      <c r="N46" s="11" t="n">
        <f aca="false">MAX(K46,L46,M46)</f>
        <v>1</v>
      </c>
      <c r="O46" s="12" t="n">
        <f aca="false">J46*N46</f>
        <v>3</v>
      </c>
      <c r="P46" s="12" t="str">
        <f aca="false">IF(O46&gt;=6,"P1",IF(O46&gt;=3,"P2","P3"))</f>
        <v>P2</v>
      </c>
      <c r="Q46" s="9" t="s">
        <v>277</v>
      </c>
    </row>
    <row r="47" customFormat="false" ht="23.85" hidden="false" customHeight="false" outlineLevel="0" collapsed="false">
      <c r="A47" s="8" t="s">
        <v>278</v>
      </c>
      <c r="B47" s="8" t="s">
        <v>90</v>
      </c>
      <c r="C47" s="9" t="s">
        <v>279</v>
      </c>
      <c r="D47" s="8" t="s">
        <v>59</v>
      </c>
      <c r="E47" s="9" t="s">
        <v>280</v>
      </c>
      <c r="F47" s="9" t="s">
        <v>281</v>
      </c>
      <c r="G47" s="10" t="n">
        <v>3</v>
      </c>
      <c r="H47" s="10" t="n">
        <v>3</v>
      </c>
      <c r="I47" s="10" t="n">
        <v>3</v>
      </c>
      <c r="J47" s="11" t="n">
        <f aca="false">MIN(G47,MAX(H47,I47))</f>
        <v>3</v>
      </c>
      <c r="K47" s="10" t="n">
        <v>3</v>
      </c>
      <c r="L47" s="10" t="n">
        <v>2</v>
      </c>
      <c r="M47" s="10" t="n">
        <v>1</v>
      </c>
      <c r="N47" s="11" t="n">
        <f aca="false">MAX(K47,L47,M47)</f>
        <v>3</v>
      </c>
      <c r="O47" s="12" t="n">
        <f aca="false">J47*N47</f>
        <v>9</v>
      </c>
      <c r="P47" s="12" t="str">
        <f aca="false">IF(O47&gt;=6,"P1",IF(O47&gt;=3,"P2","P3"))</f>
        <v>P1</v>
      </c>
      <c r="Q47" s="9" t="s">
        <v>282</v>
      </c>
    </row>
    <row r="48" customFormat="false" ht="23.85" hidden="false" customHeight="false" outlineLevel="0" collapsed="false">
      <c r="A48" s="8" t="s">
        <v>283</v>
      </c>
      <c r="B48" s="8" t="s">
        <v>90</v>
      </c>
      <c r="C48" s="9" t="s">
        <v>279</v>
      </c>
      <c r="D48" s="8" t="s">
        <v>59</v>
      </c>
      <c r="E48" s="9" t="s">
        <v>284</v>
      </c>
      <c r="F48" s="9" t="s">
        <v>285</v>
      </c>
      <c r="G48" s="10" t="n">
        <v>3</v>
      </c>
      <c r="H48" s="10" t="n">
        <v>2</v>
      </c>
      <c r="I48" s="10" t="n">
        <v>3</v>
      </c>
      <c r="J48" s="11" t="n">
        <f aca="false">MIN(G48,MAX(H48,I48))</f>
        <v>3</v>
      </c>
      <c r="K48" s="10" t="n">
        <v>2</v>
      </c>
      <c r="L48" s="10" t="n">
        <v>2</v>
      </c>
      <c r="M48" s="10" t="n">
        <v>1</v>
      </c>
      <c r="N48" s="11" t="n">
        <f aca="false">MAX(K48,L48,M48)</f>
        <v>2</v>
      </c>
      <c r="O48" s="12" t="n">
        <f aca="false">J48*N48</f>
        <v>6</v>
      </c>
      <c r="P48" s="12" t="str">
        <f aca="false">IF(O48&gt;=6,"P1",IF(O48&gt;=3,"P2","P3"))</f>
        <v>P1</v>
      </c>
      <c r="Q48" s="9" t="s">
        <v>286</v>
      </c>
    </row>
    <row r="49" customFormat="false" ht="23.85" hidden="false" customHeight="false" outlineLevel="0" collapsed="false">
      <c r="A49" s="8" t="s">
        <v>287</v>
      </c>
      <c r="B49" s="8" t="s">
        <v>90</v>
      </c>
      <c r="C49" s="9" t="s">
        <v>279</v>
      </c>
      <c r="D49" s="8" t="s">
        <v>62</v>
      </c>
      <c r="E49" s="9" t="s">
        <v>288</v>
      </c>
      <c r="F49" s="9" t="s">
        <v>289</v>
      </c>
      <c r="G49" s="10" t="n">
        <v>3</v>
      </c>
      <c r="H49" s="10" t="n">
        <v>2</v>
      </c>
      <c r="I49" s="10" t="n">
        <v>3</v>
      </c>
      <c r="J49" s="11" t="n">
        <f aca="false">MIN(G49,MAX(H49,I49))</f>
        <v>3</v>
      </c>
      <c r="K49" s="10" t="n">
        <v>3</v>
      </c>
      <c r="L49" s="10" t="n">
        <v>2</v>
      </c>
      <c r="M49" s="10" t="n">
        <v>3</v>
      </c>
      <c r="N49" s="11" t="n">
        <f aca="false">MAX(K49,L49,M49)</f>
        <v>3</v>
      </c>
      <c r="O49" s="12" t="n">
        <f aca="false">J49*N49</f>
        <v>9</v>
      </c>
      <c r="P49" s="12" t="str">
        <f aca="false">IF(O49&gt;=6,"P1",IF(O49&gt;=3,"P2","P3"))</f>
        <v>P1</v>
      </c>
      <c r="Q49" s="9" t="s">
        <v>290</v>
      </c>
    </row>
    <row r="50" customFormat="false" ht="23.85" hidden="false" customHeight="false" outlineLevel="0" collapsed="false">
      <c r="A50" s="8" t="s">
        <v>291</v>
      </c>
      <c r="B50" s="8" t="s">
        <v>90</v>
      </c>
      <c r="C50" s="9" t="s">
        <v>279</v>
      </c>
      <c r="D50" s="8" t="s">
        <v>59</v>
      </c>
      <c r="E50" s="9" t="s">
        <v>292</v>
      </c>
      <c r="F50" s="9" t="s">
        <v>293</v>
      </c>
      <c r="G50" s="10" t="n">
        <v>3</v>
      </c>
      <c r="H50" s="10" t="n">
        <v>2</v>
      </c>
      <c r="I50" s="10" t="n">
        <v>2</v>
      </c>
      <c r="J50" s="11" t="n">
        <f aca="false">MIN(G50,MAX(H50,I50))</f>
        <v>2</v>
      </c>
      <c r="K50" s="10" t="n">
        <v>2</v>
      </c>
      <c r="L50" s="10" t="n">
        <v>2</v>
      </c>
      <c r="M50" s="10" t="n">
        <v>2</v>
      </c>
      <c r="N50" s="11" t="n">
        <f aca="false">MAX(K50,L50,M50)</f>
        <v>2</v>
      </c>
      <c r="O50" s="12" t="n">
        <f aca="false">J50*N50</f>
        <v>4</v>
      </c>
      <c r="P50" s="12" t="str">
        <f aca="false">IF(O50&gt;=6,"P1",IF(O50&gt;=3,"P2","P3"))</f>
        <v>P2</v>
      </c>
      <c r="Q50" s="9" t="s">
        <v>294</v>
      </c>
    </row>
    <row r="51" customFormat="false" ht="23.85" hidden="false" customHeight="false" outlineLevel="0" collapsed="false">
      <c r="A51" s="8" t="s">
        <v>295</v>
      </c>
      <c r="B51" s="8" t="s">
        <v>296</v>
      </c>
      <c r="C51" s="9" t="s">
        <v>297</v>
      </c>
      <c r="D51" s="8" t="s">
        <v>53</v>
      </c>
      <c r="E51" s="9" t="s">
        <v>298</v>
      </c>
      <c r="F51" s="9" t="s">
        <v>299</v>
      </c>
      <c r="G51" s="10" t="n">
        <v>1</v>
      </c>
      <c r="H51" s="10" t="n">
        <v>3</v>
      </c>
      <c r="I51" s="10" t="n">
        <v>2</v>
      </c>
      <c r="J51" s="11" t="n">
        <f aca="false">MIN(G51,MAX(H51,I51))</f>
        <v>1</v>
      </c>
      <c r="K51" s="10" t="n">
        <v>2</v>
      </c>
      <c r="L51" s="10" t="n">
        <v>1</v>
      </c>
      <c r="M51" s="10" t="n">
        <v>3</v>
      </c>
      <c r="N51" s="11" t="n">
        <f aca="false">MAX(K51,L51,M51)</f>
        <v>3</v>
      </c>
      <c r="O51" s="12" t="n">
        <f aca="false">J51*N51</f>
        <v>3</v>
      </c>
      <c r="P51" s="12" t="str">
        <f aca="false">IF(O51&gt;=6,"P1",IF(O51&gt;=3,"P2","P3"))</f>
        <v>P2</v>
      </c>
      <c r="Q51" s="9" t="s">
        <v>300</v>
      </c>
    </row>
    <row r="52" customFormat="false" ht="15" hidden="false" customHeight="false" outlineLevel="0" collapsed="false">
      <c r="A52" s="8" t="s">
        <v>301</v>
      </c>
      <c r="B52" s="8" t="s">
        <v>296</v>
      </c>
      <c r="C52" s="9" t="s">
        <v>302</v>
      </c>
      <c r="D52" s="8" t="s">
        <v>53</v>
      </c>
      <c r="E52" s="9" t="s">
        <v>303</v>
      </c>
      <c r="F52" s="9" t="s">
        <v>304</v>
      </c>
      <c r="G52" s="10" t="n">
        <v>1</v>
      </c>
      <c r="H52" s="10" t="n">
        <v>3</v>
      </c>
      <c r="I52" s="10" t="n">
        <v>2</v>
      </c>
      <c r="J52" s="11" t="n">
        <f aca="false">MIN(G52,MAX(H52,I52))</f>
        <v>1</v>
      </c>
      <c r="K52" s="10" t="n">
        <v>1</v>
      </c>
      <c r="L52" s="10" t="n">
        <v>1</v>
      </c>
      <c r="M52" s="10" t="n">
        <v>3</v>
      </c>
      <c r="N52" s="11" t="n">
        <f aca="false">MAX(K52,L52,M52)</f>
        <v>3</v>
      </c>
      <c r="O52" s="12" t="n">
        <f aca="false">J52*N52</f>
        <v>3</v>
      </c>
      <c r="P52" s="12" t="str">
        <f aca="false">IF(O52&gt;=6,"P1",IF(O52&gt;=3,"P2","P3"))</f>
        <v>P2</v>
      </c>
      <c r="Q52" s="9" t="s">
        <v>305</v>
      </c>
    </row>
    <row r="53" customFormat="false" ht="23.85" hidden="false" customHeight="false" outlineLevel="0" collapsed="false">
      <c r="A53" s="8" t="s">
        <v>306</v>
      </c>
      <c r="B53" s="8" t="s">
        <v>296</v>
      </c>
      <c r="C53" s="9" t="s">
        <v>297</v>
      </c>
      <c r="D53" s="8" t="s">
        <v>62</v>
      </c>
      <c r="E53" s="9" t="s">
        <v>307</v>
      </c>
      <c r="F53" s="9" t="s">
        <v>308</v>
      </c>
      <c r="G53" s="10" t="n">
        <v>1</v>
      </c>
      <c r="H53" s="10" t="n">
        <v>2</v>
      </c>
      <c r="I53" s="10" t="n">
        <v>3</v>
      </c>
      <c r="J53" s="11" t="n">
        <f aca="false">MIN(G53,MAX(H53,I53))</f>
        <v>1</v>
      </c>
      <c r="K53" s="10" t="n">
        <v>1</v>
      </c>
      <c r="L53" s="10" t="n">
        <v>1</v>
      </c>
      <c r="M53" s="10" t="n">
        <v>3</v>
      </c>
      <c r="N53" s="11" t="n">
        <f aca="false">MAX(K53,L53,M53)</f>
        <v>3</v>
      </c>
      <c r="O53" s="12" t="n">
        <f aca="false">J53*N53</f>
        <v>3</v>
      </c>
      <c r="P53" s="12" t="str">
        <f aca="false">IF(O53&gt;=6,"P1",IF(O53&gt;=3,"P2","P3"))</f>
        <v>P2</v>
      </c>
      <c r="Q53" s="9" t="s">
        <v>309</v>
      </c>
    </row>
    <row r="54" customFormat="false" ht="23.85" hidden="false" customHeight="false" outlineLevel="0" collapsed="false">
      <c r="A54" s="8" t="s">
        <v>310</v>
      </c>
      <c r="B54" s="8" t="s">
        <v>296</v>
      </c>
      <c r="C54" s="9" t="s">
        <v>311</v>
      </c>
      <c r="D54" s="8" t="s">
        <v>56</v>
      </c>
      <c r="E54" s="9" t="s">
        <v>312</v>
      </c>
      <c r="F54" s="9" t="s">
        <v>313</v>
      </c>
      <c r="G54" s="10" t="n">
        <v>1</v>
      </c>
      <c r="H54" s="10" t="n">
        <v>2</v>
      </c>
      <c r="I54" s="10" t="n">
        <v>2</v>
      </c>
      <c r="J54" s="11" t="n">
        <f aca="false">MIN(G54,MAX(H54,I54))</f>
        <v>1</v>
      </c>
      <c r="K54" s="10" t="n">
        <v>1</v>
      </c>
      <c r="L54" s="10" t="n">
        <v>1</v>
      </c>
      <c r="M54" s="10" t="n">
        <v>1</v>
      </c>
      <c r="N54" s="11" t="n">
        <f aca="false">MAX(K54,L54,M54)</f>
        <v>1</v>
      </c>
      <c r="O54" s="12" t="n">
        <f aca="false">J54*N54</f>
        <v>1</v>
      </c>
      <c r="P54" s="12" t="str">
        <f aca="false">IF(O54&gt;=6,"P1",IF(O54&gt;=3,"P2","P3"))</f>
        <v>P3</v>
      </c>
      <c r="Q54" s="9" t="s">
        <v>314</v>
      </c>
    </row>
    <row r="55" customFormat="false" ht="23.85" hidden="false" customHeight="false" outlineLevel="0" collapsed="false">
      <c r="A55" s="8" t="s">
        <v>315</v>
      </c>
      <c r="B55" s="8" t="s">
        <v>296</v>
      </c>
      <c r="C55" s="9" t="s">
        <v>316</v>
      </c>
      <c r="D55" s="8" t="s">
        <v>56</v>
      </c>
      <c r="E55" s="9" t="s">
        <v>317</v>
      </c>
      <c r="F55" s="9" t="s">
        <v>318</v>
      </c>
      <c r="G55" s="10" t="n">
        <v>1</v>
      </c>
      <c r="H55" s="10" t="n">
        <v>1</v>
      </c>
      <c r="I55" s="10" t="n">
        <v>3</v>
      </c>
      <c r="J55" s="11" t="n">
        <f aca="false">MIN(G55,MAX(H55,I55))</f>
        <v>1</v>
      </c>
      <c r="K55" s="10" t="n">
        <v>1</v>
      </c>
      <c r="L55" s="10" t="n">
        <v>1</v>
      </c>
      <c r="M55" s="10" t="n">
        <v>3</v>
      </c>
      <c r="N55" s="11" t="n">
        <f aca="false">MAX(K55,L55,M55)</f>
        <v>3</v>
      </c>
      <c r="O55" s="12" t="n">
        <f aca="false">J55*N55</f>
        <v>3</v>
      </c>
      <c r="P55" s="12" t="str">
        <f aca="false">IF(O55&gt;=6,"P1",IF(O55&gt;=3,"P2","P3"))</f>
        <v>P2</v>
      </c>
      <c r="Q55" s="9" t="s">
        <v>319</v>
      </c>
    </row>
    <row r="56" customFormat="false" ht="35.05" hidden="false" customHeight="false" outlineLevel="0" collapsed="false">
      <c r="A56" s="8" t="s">
        <v>320</v>
      </c>
      <c r="B56" s="8" t="s">
        <v>296</v>
      </c>
      <c r="C56" s="9" t="s">
        <v>316</v>
      </c>
      <c r="D56" s="8" t="s">
        <v>65</v>
      </c>
      <c r="E56" s="9" t="s">
        <v>321</v>
      </c>
      <c r="F56" s="9" t="s">
        <v>322</v>
      </c>
      <c r="G56" s="10" t="n">
        <v>1</v>
      </c>
      <c r="H56" s="10" t="n">
        <v>3</v>
      </c>
      <c r="I56" s="10" t="n">
        <v>3</v>
      </c>
      <c r="J56" s="11" t="n">
        <f aca="false">MIN(G56,MAX(H56,I56))</f>
        <v>1</v>
      </c>
      <c r="K56" s="10" t="n">
        <v>2</v>
      </c>
      <c r="L56" s="10" t="n">
        <v>2</v>
      </c>
      <c r="M56" s="10" t="n">
        <v>2</v>
      </c>
      <c r="N56" s="11" t="n">
        <f aca="false">MAX(K56,L56,M56)</f>
        <v>2</v>
      </c>
      <c r="O56" s="12" t="n">
        <f aca="false">J56*N56</f>
        <v>2</v>
      </c>
      <c r="P56" s="12" t="str">
        <f aca="false">IF(O56&gt;=6,"P1",IF(O56&gt;=3,"P2","P3"))</f>
        <v>P3</v>
      </c>
      <c r="Q56" s="9" t="s">
        <v>323</v>
      </c>
    </row>
    <row r="57" customFormat="false" ht="35.05" hidden="false" customHeight="false" outlineLevel="0" collapsed="false">
      <c r="A57" s="8" t="s">
        <v>324</v>
      </c>
      <c r="B57" s="8" t="s">
        <v>296</v>
      </c>
      <c r="C57" s="9" t="s">
        <v>325</v>
      </c>
      <c r="D57" s="8" t="s">
        <v>65</v>
      </c>
      <c r="E57" s="9" t="s">
        <v>326</v>
      </c>
      <c r="F57" s="9" t="s">
        <v>327</v>
      </c>
      <c r="G57" s="10" t="n">
        <v>1</v>
      </c>
      <c r="H57" s="10" t="n">
        <v>1</v>
      </c>
      <c r="I57" s="10" t="n">
        <v>3</v>
      </c>
      <c r="J57" s="11" t="n">
        <f aca="false">MIN(G57,MAX(H57,I57))</f>
        <v>1</v>
      </c>
      <c r="K57" s="10" t="n">
        <v>3</v>
      </c>
      <c r="L57" s="10" t="n">
        <v>2</v>
      </c>
      <c r="M57" s="10" t="n">
        <v>2</v>
      </c>
      <c r="N57" s="11" t="n">
        <f aca="false">MAX(K57,L57,M57)</f>
        <v>3</v>
      </c>
      <c r="O57" s="12" t="n">
        <f aca="false">J57*N57</f>
        <v>3</v>
      </c>
      <c r="P57" s="12" t="str">
        <f aca="false">IF(O57&gt;=6,"P1",IF(O57&gt;=3,"P2","P3"))</f>
        <v>P2</v>
      </c>
      <c r="Q57" s="9" t="s">
        <v>328</v>
      </c>
    </row>
    <row r="58" customFormat="false" ht="23.85" hidden="false" customHeight="false" outlineLevel="0" collapsed="false">
      <c r="A58" s="8" t="s">
        <v>329</v>
      </c>
      <c r="B58" s="8" t="s">
        <v>296</v>
      </c>
      <c r="C58" s="9" t="s">
        <v>330</v>
      </c>
      <c r="D58" s="8" t="s">
        <v>59</v>
      </c>
      <c r="E58" s="9" t="s">
        <v>331</v>
      </c>
      <c r="F58" s="9" t="s">
        <v>332</v>
      </c>
      <c r="G58" s="10" t="n">
        <v>1</v>
      </c>
      <c r="H58" s="10" t="n">
        <v>2</v>
      </c>
      <c r="I58" s="10" t="n">
        <v>2</v>
      </c>
      <c r="J58" s="11" t="n">
        <f aca="false">MIN(G58,MAX(H58,I58))</f>
        <v>1</v>
      </c>
      <c r="K58" s="10" t="n">
        <v>2</v>
      </c>
      <c r="L58" s="10" t="n">
        <v>1</v>
      </c>
      <c r="M58" s="10" t="n">
        <v>1</v>
      </c>
      <c r="N58" s="11" t="n">
        <f aca="false">MAX(K58,L58,M58)</f>
        <v>2</v>
      </c>
      <c r="O58" s="12" t="n">
        <f aca="false">J58*N58</f>
        <v>2</v>
      </c>
      <c r="P58" s="12" t="str">
        <f aca="false">IF(O58&gt;=6,"P1",IF(O58&gt;=3,"P2","P3"))</f>
        <v>P3</v>
      </c>
      <c r="Q58" s="9" t="s">
        <v>333</v>
      </c>
    </row>
    <row r="59" customFormat="false" ht="35.05" hidden="false" customHeight="false" outlineLevel="0" collapsed="false">
      <c r="A59" s="8" t="s">
        <v>334</v>
      </c>
      <c r="B59" s="8" t="s">
        <v>335</v>
      </c>
      <c r="C59" s="9" t="s">
        <v>336</v>
      </c>
      <c r="D59" s="8" t="s">
        <v>65</v>
      </c>
      <c r="E59" s="9" t="s">
        <v>337</v>
      </c>
      <c r="F59" s="9" t="s">
        <v>338</v>
      </c>
      <c r="G59" s="10" t="n">
        <v>3</v>
      </c>
      <c r="H59" s="10" t="n">
        <v>3</v>
      </c>
      <c r="I59" s="10" t="n">
        <v>3</v>
      </c>
      <c r="J59" s="11" t="n">
        <f aca="false">MIN(G59,MAX(H59,I59))</f>
        <v>3</v>
      </c>
      <c r="K59" s="10" t="n">
        <v>2</v>
      </c>
      <c r="L59" s="10" t="n">
        <v>2</v>
      </c>
      <c r="M59" s="10" t="n">
        <v>1</v>
      </c>
      <c r="N59" s="11" t="n">
        <f aca="false">MAX(K59,L59,M59)</f>
        <v>2</v>
      </c>
      <c r="O59" s="12" t="n">
        <f aca="false">J59*N59</f>
        <v>6</v>
      </c>
      <c r="P59" s="12" t="str">
        <f aca="false">IF(O59&gt;=6,"P1",IF(O59&gt;=3,"P2","P3"))</f>
        <v>P1</v>
      </c>
      <c r="Q59" s="9" t="s">
        <v>339</v>
      </c>
    </row>
    <row r="60" customFormat="false" ht="23.85" hidden="false" customHeight="false" outlineLevel="0" collapsed="false">
      <c r="A60" s="8" t="s">
        <v>340</v>
      </c>
      <c r="B60" s="8" t="s">
        <v>335</v>
      </c>
      <c r="C60" s="9" t="s">
        <v>336</v>
      </c>
      <c r="D60" s="8" t="s">
        <v>62</v>
      </c>
      <c r="E60" s="9" t="s">
        <v>341</v>
      </c>
      <c r="F60" s="9" t="s">
        <v>342</v>
      </c>
      <c r="G60" s="10" t="n">
        <v>3</v>
      </c>
      <c r="H60" s="10" t="n">
        <v>3</v>
      </c>
      <c r="I60" s="10" t="n">
        <v>3</v>
      </c>
      <c r="J60" s="11" t="n">
        <f aca="false">MIN(G60,MAX(H60,I60))</f>
        <v>3</v>
      </c>
      <c r="K60" s="10" t="n">
        <v>3</v>
      </c>
      <c r="L60" s="10" t="n">
        <v>2</v>
      </c>
      <c r="M60" s="10" t="n">
        <v>3</v>
      </c>
      <c r="N60" s="11" t="n">
        <f aca="false">MAX(K60,L60,M60)</f>
        <v>3</v>
      </c>
      <c r="O60" s="12" t="n">
        <f aca="false">J60*N60</f>
        <v>9</v>
      </c>
      <c r="P60" s="12" t="str">
        <f aca="false">IF(O60&gt;=6,"P1",IF(O60&gt;=3,"P2","P3"))</f>
        <v>P1</v>
      </c>
      <c r="Q60" s="9" t="s">
        <v>343</v>
      </c>
    </row>
    <row r="61" customFormat="false" ht="23.85" hidden="false" customHeight="false" outlineLevel="0" collapsed="false">
      <c r="A61" s="8" t="s">
        <v>344</v>
      </c>
      <c r="B61" s="8" t="s">
        <v>335</v>
      </c>
      <c r="C61" s="9" t="s">
        <v>336</v>
      </c>
      <c r="D61" s="8" t="s">
        <v>53</v>
      </c>
      <c r="E61" s="9" t="s">
        <v>345</v>
      </c>
      <c r="F61" s="9" t="s">
        <v>346</v>
      </c>
      <c r="G61" s="10" t="n">
        <v>1</v>
      </c>
      <c r="H61" s="10" t="n">
        <v>3</v>
      </c>
      <c r="I61" s="10" t="n">
        <v>2</v>
      </c>
      <c r="J61" s="11" t="n">
        <f aca="false">MIN(G61,MAX(H61,I61))</f>
        <v>1</v>
      </c>
      <c r="K61" s="10" t="n">
        <v>2</v>
      </c>
      <c r="L61" s="10" t="n">
        <v>1</v>
      </c>
      <c r="M61" s="10" t="n">
        <v>2</v>
      </c>
      <c r="N61" s="11" t="n">
        <f aca="false">MAX(K61,L61,M61)</f>
        <v>2</v>
      </c>
      <c r="O61" s="12" t="n">
        <f aca="false">J61*N61</f>
        <v>2</v>
      </c>
      <c r="P61" s="12" t="str">
        <f aca="false">IF(O61&gt;=6,"P1",IF(O61&gt;=3,"P2","P3"))</f>
        <v>P3</v>
      </c>
      <c r="Q61" s="9" t="s">
        <v>347</v>
      </c>
    </row>
    <row r="62" customFormat="false" ht="23.85" hidden="false" customHeight="false" outlineLevel="0" collapsed="false">
      <c r="A62" s="8" t="s">
        <v>348</v>
      </c>
      <c r="B62" s="8" t="s">
        <v>335</v>
      </c>
      <c r="C62" s="9" t="s">
        <v>349</v>
      </c>
      <c r="D62" s="8" t="s">
        <v>59</v>
      </c>
      <c r="E62" s="9" t="s">
        <v>350</v>
      </c>
      <c r="F62" s="9" t="s">
        <v>351</v>
      </c>
      <c r="G62" s="10" t="n">
        <v>3</v>
      </c>
      <c r="H62" s="10" t="n">
        <v>2</v>
      </c>
      <c r="I62" s="10" t="n">
        <v>3</v>
      </c>
      <c r="J62" s="11" t="n">
        <f aca="false">MIN(G62,MAX(H62,I62))</f>
        <v>3</v>
      </c>
      <c r="K62" s="10" t="n">
        <v>3</v>
      </c>
      <c r="L62" s="10" t="n">
        <v>2</v>
      </c>
      <c r="M62" s="10" t="n">
        <v>2</v>
      </c>
      <c r="N62" s="11" t="n">
        <f aca="false">MAX(K62,L62,M62)</f>
        <v>3</v>
      </c>
      <c r="O62" s="12" t="n">
        <f aca="false">J62*N62</f>
        <v>9</v>
      </c>
      <c r="P62" s="12" t="str">
        <f aca="false">IF(O62&gt;=6,"P1",IF(O62&gt;=3,"P2","P3"))</f>
        <v>P1</v>
      </c>
      <c r="Q62" s="9" t="s">
        <v>352</v>
      </c>
    </row>
    <row r="63" customFormat="false" ht="23.85" hidden="false" customHeight="false" outlineLevel="0" collapsed="false">
      <c r="A63" s="8" t="s">
        <v>353</v>
      </c>
      <c r="B63" s="8" t="s">
        <v>335</v>
      </c>
      <c r="C63" s="9" t="s">
        <v>354</v>
      </c>
      <c r="D63" s="8" t="s">
        <v>59</v>
      </c>
      <c r="E63" s="9" t="s">
        <v>355</v>
      </c>
      <c r="F63" s="9" t="s">
        <v>356</v>
      </c>
      <c r="G63" s="10" t="n">
        <v>3</v>
      </c>
      <c r="H63" s="10" t="n">
        <v>3</v>
      </c>
      <c r="I63" s="10" t="n">
        <v>3</v>
      </c>
      <c r="J63" s="11" t="n">
        <f aca="false">MIN(G63,MAX(H63,I63))</f>
        <v>3</v>
      </c>
      <c r="K63" s="10" t="n">
        <v>2</v>
      </c>
      <c r="L63" s="10" t="n">
        <v>1</v>
      </c>
      <c r="M63" s="10" t="n">
        <v>2</v>
      </c>
      <c r="N63" s="11" t="n">
        <f aca="false">MAX(K63,L63,M63)</f>
        <v>2</v>
      </c>
      <c r="O63" s="12" t="n">
        <f aca="false">J63*N63</f>
        <v>6</v>
      </c>
      <c r="P63" s="12" t="str">
        <f aca="false">IF(O63&gt;=6,"P1",IF(O63&gt;=3,"P2","P3"))</f>
        <v>P1</v>
      </c>
      <c r="Q63" s="9" t="s">
        <v>357</v>
      </c>
    </row>
    <row r="64" customFormat="false" ht="15" hidden="false" customHeight="false" outlineLevel="0" collapsed="false">
      <c r="A64" s="8" t="s">
        <v>358</v>
      </c>
      <c r="B64" s="8" t="s">
        <v>335</v>
      </c>
      <c r="C64" s="9" t="s">
        <v>354</v>
      </c>
      <c r="D64" s="8" t="s">
        <v>59</v>
      </c>
      <c r="E64" s="9" t="s">
        <v>359</v>
      </c>
      <c r="F64" s="9" t="s">
        <v>360</v>
      </c>
      <c r="G64" s="10" t="n">
        <v>3</v>
      </c>
      <c r="H64" s="10" t="n">
        <v>2</v>
      </c>
      <c r="I64" s="10" t="n">
        <v>3</v>
      </c>
      <c r="J64" s="11" t="n">
        <f aca="false">MIN(G64,MAX(H64,I64))</f>
        <v>3</v>
      </c>
      <c r="K64" s="10" t="n">
        <v>2</v>
      </c>
      <c r="L64" s="10" t="n">
        <v>1</v>
      </c>
      <c r="M64" s="10" t="n">
        <v>2</v>
      </c>
      <c r="N64" s="11" t="n">
        <f aca="false">MAX(K64,L64,M64)</f>
        <v>2</v>
      </c>
      <c r="O64" s="12" t="n">
        <f aca="false">J64*N64</f>
        <v>6</v>
      </c>
      <c r="P64" s="12" t="str">
        <f aca="false">IF(O64&gt;=6,"P1",IF(O64&gt;=3,"P2","P3"))</f>
        <v>P1</v>
      </c>
      <c r="Q64" s="9" t="s">
        <v>361</v>
      </c>
    </row>
    <row r="65" customFormat="false" ht="23.85" hidden="false" customHeight="false" outlineLevel="0" collapsed="false">
      <c r="A65" s="8" t="s">
        <v>362</v>
      </c>
      <c r="B65" s="8" t="s">
        <v>335</v>
      </c>
      <c r="C65" s="9" t="s">
        <v>354</v>
      </c>
      <c r="D65" s="8" t="s">
        <v>53</v>
      </c>
      <c r="E65" s="9" t="s">
        <v>363</v>
      </c>
      <c r="F65" s="9" t="s">
        <v>364</v>
      </c>
      <c r="G65" s="10" t="n">
        <v>3</v>
      </c>
      <c r="H65" s="10" t="n">
        <v>3</v>
      </c>
      <c r="I65" s="10" t="n">
        <v>2</v>
      </c>
      <c r="J65" s="11" t="n">
        <f aca="false">MIN(G65,MAX(H65,I65))</f>
        <v>3</v>
      </c>
      <c r="K65" s="10" t="n">
        <v>2</v>
      </c>
      <c r="L65" s="10" t="n">
        <v>1</v>
      </c>
      <c r="M65" s="10" t="n">
        <v>3</v>
      </c>
      <c r="N65" s="11" t="n">
        <f aca="false">MAX(K65,L65,M65)</f>
        <v>3</v>
      </c>
      <c r="O65" s="12" t="n">
        <f aca="false">J65*N65</f>
        <v>9</v>
      </c>
      <c r="P65" s="12" t="str">
        <f aca="false">IF(O65&gt;=6,"P1",IF(O65&gt;=3,"P2","P3"))</f>
        <v>P1</v>
      </c>
      <c r="Q65" s="9" t="s">
        <v>365</v>
      </c>
    </row>
    <row r="66" customFormat="false" ht="23.85" hidden="false" customHeight="false" outlineLevel="0" collapsed="false">
      <c r="A66" s="8" t="s">
        <v>366</v>
      </c>
      <c r="B66" s="8" t="s">
        <v>335</v>
      </c>
      <c r="C66" s="9" t="s">
        <v>354</v>
      </c>
      <c r="D66" s="8" t="s">
        <v>56</v>
      </c>
      <c r="E66" s="9" t="s">
        <v>367</v>
      </c>
      <c r="F66" s="9" t="s">
        <v>368</v>
      </c>
      <c r="G66" s="10" t="n">
        <v>3</v>
      </c>
      <c r="H66" s="10" t="n">
        <v>3</v>
      </c>
      <c r="I66" s="10" t="n">
        <v>3</v>
      </c>
      <c r="J66" s="11" t="n">
        <f aca="false">MIN(G66,MAX(H66,I66))</f>
        <v>3</v>
      </c>
      <c r="K66" s="10" t="n">
        <v>1</v>
      </c>
      <c r="L66" s="10" t="n">
        <v>1</v>
      </c>
      <c r="M66" s="10" t="n">
        <v>2</v>
      </c>
      <c r="N66" s="11" t="n">
        <f aca="false">MAX(K66,L66,M66)</f>
        <v>2</v>
      </c>
      <c r="O66" s="12" t="n">
        <f aca="false">J66*N66</f>
        <v>6</v>
      </c>
      <c r="P66" s="12" t="str">
        <f aca="false">IF(O66&gt;=6,"P1",IF(O66&gt;=3,"P2","P3"))</f>
        <v>P1</v>
      </c>
      <c r="Q66" s="9" t="s">
        <v>369</v>
      </c>
    </row>
    <row r="67" customFormat="false" ht="23.85" hidden="false" customHeight="false" outlineLevel="0" collapsed="false">
      <c r="A67" s="8" t="s">
        <v>370</v>
      </c>
      <c r="B67" s="8" t="s">
        <v>335</v>
      </c>
      <c r="C67" s="9" t="s">
        <v>371</v>
      </c>
      <c r="D67" s="8" t="s">
        <v>59</v>
      </c>
      <c r="E67" s="9" t="s">
        <v>372</v>
      </c>
      <c r="F67" s="9" t="s">
        <v>373</v>
      </c>
      <c r="G67" s="10" t="n">
        <v>3</v>
      </c>
      <c r="H67" s="10" t="n">
        <v>2</v>
      </c>
      <c r="I67" s="10" t="n">
        <v>2</v>
      </c>
      <c r="J67" s="11" t="n">
        <f aca="false">MIN(G67,MAX(H67,I67))</f>
        <v>2</v>
      </c>
      <c r="K67" s="10" t="n">
        <v>2</v>
      </c>
      <c r="L67" s="10" t="n">
        <v>1</v>
      </c>
      <c r="M67" s="10" t="n">
        <v>2</v>
      </c>
      <c r="N67" s="11" t="n">
        <f aca="false">MAX(K67,L67,M67)</f>
        <v>2</v>
      </c>
      <c r="O67" s="12" t="n">
        <f aca="false">J67*N67</f>
        <v>4</v>
      </c>
      <c r="P67" s="12" t="str">
        <f aca="false">IF(O67&gt;=6,"P1",IF(O67&gt;=3,"P2","P3"))</f>
        <v>P2</v>
      </c>
      <c r="Q67" s="9" t="s">
        <v>374</v>
      </c>
    </row>
    <row r="68" customFormat="false" ht="23.85" hidden="false" customHeight="false" outlineLevel="0" collapsed="false">
      <c r="A68" s="8" t="s">
        <v>375</v>
      </c>
      <c r="B68" s="8" t="s">
        <v>335</v>
      </c>
      <c r="C68" s="9" t="s">
        <v>354</v>
      </c>
      <c r="D68" s="8" t="s">
        <v>59</v>
      </c>
      <c r="E68" s="9" t="s">
        <v>376</v>
      </c>
      <c r="F68" s="9" t="s">
        <v>377</v>
      </c>
      <c r="G68" s="10" t="n">
        <v>3</v>
      </c>
      <c r="H68" s="10" t="n">
        <v>2</v>
      </c>
      <c r="I68" s="10" t="n">
        <v>3</v>
      </c>
      <c r="J68" s="11" t="n">
        <f aca="false">MIN(G68,MAX(H68,I68))</f>
        <v>3</v>
      </c>
      <c r="K68" s="10" t="n">
        <v>2</v>
      </c>
      <c r="L68" s="10" t="n">
        <v>1</v>
      </c>
      <c r="M68" s="10" t="n">
        <v>3</v>
      </c>
      <c r="N68" s="11" t="n">
        <f aca="false">MAX(K68,L68,M68)</f>
        <v>3</v>
      </c>
      <c r="O68" s="12" t="n">
        <f aca="false">J68*N68</f>
        <v>9</v>
      </c>
      <c r="P68" s="12" t="str">
        <f aca="false">IF(O68&gt;=6,"P1",IF(O68&gt;=3,"P2","P3"))</f>
        <v>P1</v>
      </c>
      <c r="Q68" s="9" t="s">
        <v>378</v>
      </c>
    </row>
    <row r="69" customFormat="false" ht="35.05" hidden="false" customHeight="false" outlineLevel="0" collapsed="false">
      <c r="A69" s="8" t="s">
        <v>379</v>
      </c>
      <c r="B69" s="8" t="s">
        <v>335</v>
      </c>
      <c r="C69" s="9" t="s">
        <v>380</v>
      </c>
      <c r="D69" s="8" t="s">
        <v>53</v>
      </c>
      <c r="E69" s="9" t="s">
        <v>381</v>
      </c>
      <c r="F69" s="9" t="s">
        <v>382</v>
      </c>
      <c r="G69" s="10" t="n">
        <v>3</v>
      </c>
      <c r="H69" s="10" t="n">
        <v>2</v>
      </c>
      <c r="I69" s="10" t="n">
        <v>3</v>
      </c>
      <c r="J69" s="11" t="n">
        <f aca="false">MIN(G69,MAX(H69,I69))</f>
        <v>3</v>
      </c>
      <c r="K69" s="10" t="n">
        <v>2</v>
      </c>
      <c r="L69" s="10" t="n">
        <v>1</v>
      </c>
      <c r="M69" s="10" t="n">
        <v>2</v>
      </c>
      <c r="N69" s="11" t="n">
        <f aca="false">MAX(K69,L69,M69)</f>
        <v>2</v>
      </c>
      <c r="O69" s="12" t="n">
        <f aca="false">J69*N69</f>
        <v>6</v>
      </c>
      <c r="P69" s="12" t="str">
        <f aca="false">IF(O69&gt;=6,"P1",IF(O69&gt;=3,"P2","P3"))</f>
        <v>P1</v>
      </c>
      <c r="Q69" s="9" t="s">
        <v>383</v>
      </c>
    </row>
    <row r="70" customFormat="false" ht="23.85" hidden="false" customHeight="false" outlineLevel="0" collapsed="false">
      <c r="A70" s="8" t="s">
        <v>384</v>
      </c>
      <c r="B70" s="8" t="s">
        <v>335</v>
      </c>
      <c r="C70" s="9" t="s">
        <v>385</v>
      </c>
      <c r="D70" s="8" t="s">
        <v>53</v>
      </c>
      <c r="E70" s="9" t="s">
        <v>386</v>
      </c>
      <c r="F70" s="9" t="s">
        <v>387</v>
      </c>
      <c r="G70" s="10" t="n">
        <v>3</v>
      </c>
      <c r="H70" s="10" t="n">
        <v>1</v>
      </c>
      <c r="I70" s="10" t="n">
        <v>2</v>
      </c>
      <c r="J70" s="11" t="n">
        <f aca="false">MIN(G70,MAX(H70,I70))</f>
        <v>2</v>
      </c>
      <c r="K70" s="10" t="n">
        <v>3</v>
      </c>
      <c r="L70" s="10" t="n">
        <v>2</v>
      </c>
      <c r="M70" s="10" t="n">
        <v>1</v>
      </c>
      <c r="N70" s="11" t="n">
        <f aca="false">MAX(K70,L70,M70)</f>
        <v>3</v>
      </c>
      <c r="O70" s="12" t="n">
        <f aca="false">J70*N70</f>
        <v>6</v>
      </c>
      <c r="P70" s="12" t="str">
        <f aca="false">IF(O70&gt;=6,"P1",IF(O70&gt;=3,"P2","P3"))</f>
        <v>P1</v>
      </c>
      <c r="Q70" s="9" t="s">
        <v>388</v>
      </c>
    </row>
    <row r="71" customFormat="false" ht="15" hidden="false" customHeight="false" outlineLevel="0" collapsed="false">
      <c r="A71" s="8" t="s">
        <v>389</v>
      </c>
      <c r="B71" s="8" t="s">
        <v>335</v>
      </c>
      <c r="C71" s="9" t="s">
        <v>390</v>
      </c>
      <c r="D71" s="8" t="s">
        <v>59</v>
      </c>
      <c r="E71" s="9" t="s">
        <v>391</v>
      </c>
      <c r="F71" s="9" t="s">
        <v>392</v>
      </c>
      <c r="G71" s="10" t="n">
        <v>3</v>
      </c>
      <c r="H71" s="10" t="n">
        <v>2</v>
      </c>
      <c r="I71" s="10" t="n">
        <v>3</v>
      </c>
      <c r="J71" s="11" t="n">
        <f aca="false">MIN(G71,MAX(H71,I71))</f>
        <v>3</v>
      </c>
      <c r="K71" s="10" t="n">
        <v>1</v>
      </c>
      <c r="L71" s="10" t="n">
        <v>1</v>
      </c>
      <c r="M71" s="10" t="n">
        <v>2</v>
      </c>
      <c r="N71" s="11" t="n">
        <f aca="false">MAX(K71,L71,M71)</f>
        <v>2</v>
      </c>
      <c r="O71" s="12" t="n">
        <f aca="false">J71*N71</f>
        <v>6</v>
      </c>
      <c r="P71" s="12" t="str">
        <f aca="false">IF(O71&gt;=6,"P1",IF(O71&gt;=3,"P2","P3"))</f>
        <v>P1</v>
      </c>
      <c r="Q71" s="9" t="s">
        <v>393</v>
      </c>
    </row>
    <row r="72" customFormat="false" ht="23.85" hidden="false" customHeight="false" outlineLevel="0" collapsed="false">
      <c r="A72" s="8" t="s">
        <v>394</v>
      </c>
      <c r="B72" s="8" t="s">
        <v>335</v>
      </c>
      <c r="C72" s="9" t="s">
        <v>354</v>
      </c>
      <c r="D72" s="8" t="s">
        <v>62</v>
      </c>
      <c r="E72" s="9" t="s">
        <v>395</v>
      </c>
      <c r="F72" s="9" t="s">
        <v>396</v>
      </c>
      <c r="G72" s="10" t="n">
        <v>3</v>
      </c>
      <c r="H72" s="10" t="n">
        <v>3</v>
      </c>
      <c r="I72" s="10" t="n">
        <v>2</v>
      </c>
      <c r="J72" s="11" t="n">
        <f aca="false">MIN(G72,MAX(H72,I72))</f>
        <v>3</v>
      </c>
      <c r="K72" s="10" t="n">
        <v>1</v>
      </c>
      <c r="L72" s="10" t="n">
        <v>1</v>
      </c>
      <c r="M72" s="10" t="n">
        <v>1</v>
      </c>
      <c r="N72" s="11" t="n">
        <f aca="false">MAX(K72,L72,M72)</f>
        <v>1</v>
      </c>
      <c r="O72" s="12" t="n">
        <f aca="false">J72*N72</f>
        <v>3</v>
      </c>
      <c r="P72" s="12" t="str">
        <f aca="false">IF(O72&gt;=6,"P1",IF(O72&gt;=3,"P2","P3"))</f>
        <v>P2</v>
      </c>
      <c r="Q72" s="9" t="s">
        <v>397</v>
      </c>
    </row>
    <row r="73" customFormat="false" ht="23.85" hidden="false" customHeight="false" outlineLevel="0" collapsed="false">
      <c r="A73" s="8" t="s">
        <v>398</v>
      </c>
      <c r="B73" s="8" t="s">
        <v>335</v>
      </c>
      <c r="C73" s="9" t="s">
        <v>399</v>
      </c>
      <c r="D73" s="8" t="s">
        <v>65</v>
      </c>
      <c r="E73" s="9" t="s">
        <v>400</v>
      </c>
      <c r="F73" s="9" t="s">
        <v>401</v>
      </c>
      <c r="G73" s="10" t="n">
        <v>3</v>
      </c>
      <c r="H73" s="10" t="n">
        <v>3</v>
      </c>
      <c r="I73" s="10" t="n">
        <v>2</v>
      </c>
      <c r="J73" s="11" t="n">
        <f aca="false">MIN(G73,MAX(H73,I73))</f>
        <v>3</v>
      </c>
      <c r="K73" s="10" t="n">
        <v>1</v>
      </c>
      <c r="L73" s="10" t="n">
        <v>1</v>
      </c>
      <c r="M73" s="10" t="n">
        <v>1</v>
      </c>
      <c r="N73" s="11" t="n">
        <f aca="false">MAX(K73,L73,M73)</f>
        <v>1</v>
      </c>
      <c r="O73" s="12" t="n">
        <f aca="false">J73*N73</f>
        <v>3</v>
      </c>
      <c r="P73" s="12" t="str">
        <f aca="false">IF(O73&gt;=6,"P1",IF(O73&gt;=3,"P2","P3"))</f>
        <v>P2</v>
      </c>
      <c r="Q73" s="9" t="s">
        <v>402</v>
      </c>
    </row>
  </sheetData>
  <autoFilter ref="A1:Q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64"/>
  </cols>
  <sheetData>
    <row r="1" customFormat="false" ht="17.35" hidden="false" customHeight="false" outlineLevel="0" collapsed="false">
      <c r="A1" s="13" t="s">
        <v>403</v>
      </c>
    </row>
    <row r="3" customFormat="false" ht="15" hidden="false" customHeight="false" outlineLevel="0" collapsed="false">
      <c r="A3" s="14" t="s">
        <v>404</v>
      </c>
      <c r="B3" s="14" t="s">
        <v>405</v>
      </c>
      <c r="C3" s="14" t="s">
        <v>406</v>
      </c>
    </row>
    <row r="4" customFormat="false" ht="23.85" hidden="false" customHeight="false" outlineLevel="0" collapsed="false">
      <c r="A4" s="15" t="s">
        <v>407</v>
      </c>
      <c r="B4" s="15" t="s">
        <v>408</v>
      </c>
      <c r="C4" s="15" t="s">
        <v>409</v>
      </c>
    </row>
    <row r="5" customFormat="false" ht="23.85" hidden="false" customHeight="false" outlineLevel="0" collapsed="false">
      <c r="A5" s="15" t="s">
        <v>410</v>
      </c>
      <c r="B5" s="15" t="s">
        <v>411</v>
      </c>
      <c r="C5" s="15" t="s">
        <v>412</v>
      </c>
    </row>
    <row r="6" customFormat="false" ht="23.85" hidden="false" customHeight="false" outlineLevel="0" collapsed="false">
      <c r="A6" s="15" t="s">
        <v>413</v>
      </c>
      <c r="B6" s="15" t="s">
        <v>414</v>
      </c>
      <c r="C6" s="15" t="s">
        <v>415</v>
      </c>
    </row>
    <row r="7" customFormat="false" ht="23.85" hidden="false" customHeight="false" outlineLevel="0" collapsed="false">
      <c r="A7" s="15" t="s">
        <v>416</v>
      </c>
      <c r="B7" s="15" t="s">
        <v>417</v>
      </c>
      <c r="C7" s="15" t="s">
        <v>418</v>
      </c>
    </row>
    <row r="8" customFormat="false" ht="23.85" hidden="false" customHeight="false" outlineLevel="0" collapsed="false">
      <c r="A8" s="15" t="s">
        <v>419</v>
      </c>
      <c r="B8" s="15" t="s">
        <v>420</v>
      </c>
      <c r="C8" s="15" t="s">
        <v>421</v>
      </c>
    </row>
    <row r="9" customFormat="false" ht="23.85" hidden="false" customHeight="false" outlineLevel="0" collapsed="false">
      <c r="A9" s="15" t="s">
        <v>422</v>
      </c>
      <c r="B9" s="15" t="s">
        <v>423</v>
      </c>
      <c r="C9" s="15" t="s">
        <v>424</v>
      </c>
    </row>
    <row r="11" customFormat="false" ht="15" hidden="false" customHeight="false" outlineLevel="0" collapsed="false">
      <c r="A11" s="16" t="s">
        <v>425</v>
      </c>
    </row>
    <row r="12" customFormat="false" ht="35.05" hidden="false" customHeight="false" outlineLevel="0" collapsed="false">
      <c r="A12" s="17" t="s">
        <v>426</v>
      </c>
    </row>
    <row r="13" customFormat="false" ht="35.05" hidden="false" customHeight="false" outlineLevel="0" collapsed="false">
      <c r="A13" s="17" t="s">
        <v>427</v>
      </c>
    </row>
    <row r="14" customFormat="false" ht="35.05" hidden="false" customHeight="false" outlineLevel="0" collapsed="false">
      <c r="A14" s="17" t="s">
        <v>428</v>
      </c>
    </row>
    <row r="15" customFormat="false" ht="35.05" hidden="false" customHeight="false" outlineLevel="0" collapsed="false">
      <c r="A15" s="17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2026-09-17T13:49:41Z</dcterms:created>
  <dc:creator>openpyxl</dc:creator>
  <dc:description/>
  <dc:language>en-US</dc:language>
  <cp:lastModifiedBy/>
  <dcterms:modified xsi:type="dcterms:W3CDTF">2026-09-17T13:49:41Z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